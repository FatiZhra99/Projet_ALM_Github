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Hypothèses" sheetId="2" state="visible" r:id="rId2"/>
    <sheet name="Courbe_taux" sheetId="3" state="visible" r:id="rId3"/>
    <sheet name="Actifs" sheetId="4" state="visible" r:id="rId4"/>
    <sheet name="Passif_ModelPoints" sheetId="5" state="visible" r:id="rId5"/>
    <sheet name="Histor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0;(#,##0.00);-"/>
    <numFmt numFmtId="166" formatCode="#,##0.000"/>
    <numFmt numFmtId="167" formatCode="0.0%"/>
    <numFmt numFmtId="168" formatCode="#,##0.0;(#,##0.0);-"/>
  </numFmts>
  <fonts count="9">
    <font>
      <name val="Calibri"/>
      <family val="2"/>
      <color theme="1"/>
      <sz val="11"/>
      <scheme val="minor"/>
    </font>
    <font>
      <b val="1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i val="1"/>
    </font>
    <font>
      <name val="Arial"/>
      <b val="1"/>
      <sz val="14"/>
    </font>
    <font>
      <name val="Arial"/>
      <b val="1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168" fontId="8" fillId="0" borderId="0" pivotButton="0" quotePrefix="0" xfId="0"/>
    <xf numFmtId="167" fontId="8" fillId="0" borderId="0" pivotButton="0" quotePrefix="0" xfId="0"/>
    <xf numFmtId="0" fontId="7" fillId="0" borderId="0" pivotButton="0" quotePrefix="0" xfId="0"/>
    <xf numFmtId="10" fontId="8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4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165" fontId="2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SYNTHÈSE DU BILAN (M€) - 31/12/2025</t>
        </is>
      </c>
    </row>
    <row r="2">
      <c r="A2" s="3" t="n"/>
      <c r="B2" s="3" t="n"/>
      <c r="C2" s="3" t="n"/>
      <c r="D2" s="3" t="n"/>
      <c r="E2" s="3" t="n"/>
    </row>
    <row r="3">
      <c r="A3" s="4" t="inlineStr">
        <is>
          <t>Classe d'actif</t>
        </is>
      </c>
      <c r="B3" s="4" t="inlineStr">
        <is>
          <t>Valeur de marché</t>
        </is>
      </c>
      <c r="C3" s="4" t="inlineStr">
        <is>
          <t>Valeur comptable</t>
        </is>
      </c>
      <c r="D3" s="4" t="inlineStr">
        <is>
          <t>Plus/moins-value latente</t>
        </is>
      </c>
      <c r="E3" s="4" t="inlineStr">
        <is>
          <t>Poids (VM)</t>
        </is>
      </c>
    </row>
    <row r="4">
      <c r="A4" s="3" t="inlineStr">
        <is>
          <t>Obligations souveraines</t>
        </is>
      </c>
      <c r="B4" s="5">
        <f>SUMIFS(Actifs!$I:$I,Actifs!$B:$B,A4)</f>
        <v/>
      </c>
      <c r="C4" s="5">
        <f>SUMIFS(Actifs!$H:$H,Actifs!$B:$B,A4)</f>
        <v/>
      </c>
      <c r="D4" s="5">
        <f>B4-C4</f>
        <v/>
      </c>
      <c r="E4" s="6">
        <f>B4/$B$9</f>
        <v/>
      </c>
    </row>
    <row r="5">
      <c r="A5" s="3" t="inlineStr">
        <is>
          <t>Obligations corporate</t>
        </is>
      </c>
      <c r="B5" s="5">
        <f>SUMIFS(Actifs!$I:$I,Actifs!$B:$B,A5)</f>
        <v/>
      </c>
      <c r="C5" s="5">
        <f>SUMIFS(Actifs!$H:$H,Actifs!$B:$B,A5)</f>
        <v/>
      </c>
      <c r="D5" s="5">
        <f>B5-C5</f>
        <v/>
      </c>
      <c r="E5" s="6">
        <f>B5/$B$9</f>
        <v/>
      </c>
    </row>
    <row r="6">
      <c r="A6" s="3" t="inlineStr">
        <is>
          <t>Actions</t>
        </is>
      </c>
      <c r="B6" s="5">
        <f>SUMIFS(Actifs!$I:$I,Actifs!$B:$B,A6)</f>
        <v/>
      </c>
      <c r="C6" s="5">
        <f>SUMIFS(Actifs!$H:$H,Actifs!$B:$B,A6)</f>
        <v/>
      </c>
      <c r="D6" s="5">
        <f>B6-C6</f>
        <v/>
      </c>
      <c r="E6" s="6">
        <f>B6/$B$9</f>
        <v/>
      </c>
    </row>
    <row r="7">
      <c r="A7" s="3" t="inlineStr">
        <is>
          <t>Immobilier</t>
        </is>
      </c>
      <c r="B7" s="5">
        <f>SUMIFS(Actifs!$I:$I,Actifs!$B:$B,A7)</f>
        <v/>
      </c>
      <c r="C7" s="5">
        <f>SUMIFS(Actifs!$H:$H,Actifs!$B:$B,A7)</f>
        <v/>
      </c>
      <c r="D7" s="5">
        <f>B7-C7</f>
        <v/>
      </c>
      <c r="E7" s="6">
        <f>B7/$B$9</f>
        <v/>
      </c>
    </row>
    <row r="8">
      <c r="A8" s="3" t="inlineStr">
        <is>
          <t>Monétaire</t>
        </is>
      </c>
      <c r="B8" s="5">
        <f>SUMIFS(Actifs!$I:$I,Actifs!$B:$B,A8)</f>
        <v/>
      </c>
      <c r="C8" s="5">
        <f>SUMIFS(Actifs!$H:$H,Actifs!$B:$B,A8)</f>
        <v/>
      </c>
      <c r="D8" s="5">
        <f>B8-C8</f>
        <v/>
      </c>
      <c r="E8" s="6">
        <f>B8/$B$9</f>
        <v/>
      </c>
    </row>
    <row r="9">
      <c r="A9" s="3" t="inlineStr">
        <is>
          <t>Total actif</t>
        </is>
      </c>
      <c r="B9" s="5">
        <f>SUM(B4:B8)</f>
        <v/>
      </c>
      <c r="C9" s="5">
        <f>SUM(C4:C8)</f>
        <v/>
      </c>
      <c r="D9" s="5">
        <f>B9-C9</f>
        <v/>
      </c>
      <c r="E9" s="6">
        <f>SUM(E4:E8)</f>
        <v/>
      </c>
    </row>
    <row r="10">
      <c r="A10" s="3" t="n"/>
      <c r="B10" s="3" t="n"/>
      <c r="C10" s="3" t="n"/>
      <c r="D10" s="3" t="n"/>
      <c r="E10" s="3" t="n"/>
    </row>
    <row r="11">
      <c r="A11" s="7" t="inlineStr">
        <is>
          <t>Passif</t>
        </is>
      </c>
      <c r="B11" s="3" t="n"/>
      <c r="C11" s="3" t="n"/>
      <c r="D11" s="3" t="n"/>
      <c r="E11" s="3" t="n"/>
    </row>
    <row r="12">
      <c r="A12" s="3" t="inlineStr">
        <is>
          <t>Provisions mathématiques</t>
        </is>
      </c>
      <c r="B12" s="5">
        <f>SUM(Passif_ModelPoints!H:H)</f>
        <v/>
      </c>
      <c r="C12" s="3" t="n"/>
      <c r="D12" s="3" t="n"/>
      <c r="E12" s="3" t="n"/>
    </row>
    <row r="13">
      <c r="A13" s="3" t="inlineStr">
        <is>
          <t>PPB</t>
        </is>
      </c>
      <c r="B13" s="5">
        <f>INDEX(Hypothèses!B:B,MATCH("ppb_initiale",Hypothèses!A:A,0))</f>
        <v/>
      </c>
      <c r="C13" s="3" t="n"/>
      <c r="D13" s="3" t="n"/>
      <c r="E13" s="3" t="n"/>
    </row>
    <row r="14">
      <c r="A14" s="3" t="inlineStr">
        <is>
          <t>Fonds propres comptables (plug)</t>
        </is>
      </c>
      <c r="B14" s="5">
        <f>C9-B12-B13</f>
        <v/>
      </c>
      <c r="C14" s="3" t="n"/>
      <c r="D14" s="3" t="n"/>
      <c r="E14" s="3" t="n"/>
    </row>
    <row r="15">
      <c r="A15" s="3" t="inlineStr">
        <is>
          <t>Fonds propres 'valeur de marché des actifs' (VM actifs - PM - PPB)</t>
        </is>
      </c>
      <c r="B15" s="5">
        <f>B9-B12-B13</f>
        <v/>
      </c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4" t="inlineStr">
        <is>
          <t>Segment</t>
        </is>
      </c>
      <c r="B17" s="4" t="inlineStr">
        <is>
          <t>PM (M€)</t>
        </is>
      </c>
      <c r="C17" s="4" t="inlineStr">
        <is>
          <t>TMG</t>
        </is>
      </c>
      <c r="D17" s="4" t="inlineStr">
        <is>
          <t>Poids</t>
        </is>
      </c>
      <c r="E17" s="3" t="n"/>
    </row>
    <row r="18">
      <c r="A18" s="3" t="inlineStr">
        <is>
          <t>Génération 2020-2025</t>
        </is>
      </c>
      <c r="B18" s="5">
        <f>SUMIFS(Passif_ModelPoints!$H:$H,Passif_ModelPoints!$B:$B,A18)</f>
        <v/>
      </c>
      <c r="C18" s="8">
        <f>INDEX(Passif_ModelPoints!$D:$D,MATCH(A18,Passif_ModelPoints!$B:$B,0))</f>
        <v/>
      </c>
      <c r="D18" s="6">
        <f>B18/$B$12</f>
        <v/>
      </c>
      <c r="E18" s="3" t="n"/>
    </row>
    <row r="19">
      <c r="A19" s="3" t="inlineStr">
        <is>
          <t>Génération 2013-2019</t>
        </is>
      </c>
      <c r="B19" s="5">
        <f>SUMIFS(Passif_ModelPoints!$H:$H,Passif_ModelPoints!$B:$B,A19)</f>
        <v/>
      </c>
      <c r="C19" s="8">
        <f>INDEX(Passif_ModelPoints!$D:$D,MATCH(A19,Passif_ModelPoints!$B:$B,0))</f>
        <v/>
      </c>
      <c r="D19" s="6">
        <f>B19/$B$12</f>
        <v/>
      </c>
      <c r="E19" s="3" t="n"/>
    </row>
    <row r="20">
      <c r="A20" s="3" t="inlineStr">
        <is>
          <t>Génération 2005-2012</t>
        </is>
      </c>
      <c r="B20" s="5">
        <f>SUMIFS(Passif_ModelPoints!$H:$H,Passif_ModelPoints!$B:$B,A20)</f>
        <v/>
      </c>
      <c r="C20" s="8">
        <f>INDEX(Passif_ModelPoints!$D:$D,MATCH(A20,Passif_ModelPoints!$B:$B,0))</f>
        <v/>
      </c>
      <c r="D20" s="6">
        <f>B20/$B$12</f>
        <v/>
      </c>
      <c r="E20" s="3" t="n"/>
    </row>
    <row r="21">
      <c r="A21" s="3" t="inlineStr">
        <is>
          <t>Génération avant 2005</t>
        </is>
      </c>
      <c r="B21" s="5">
        <f>SUMIFS(Passif_ModelPoints!$H:$H,Passif_ModelPoints!$B:$B,A21)</f>
        <v/>
      </c>
      <c r="C21" s="8">
        <f>INDEX(Passif_ModelPoints!$D:$D,MATCH(A21,Passif_ModelPoints!$B:$B,0))</f>
        <v/>
      </c>
      <c r="D21" s="6">
        <f>B21/$B$12</f>
        <v/>
      </c>
      <c r="E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5" customWidth="1" min="3" max="3"/>
  </cols>
  <sheetData>
    <row r="1">
      <c r="A1" s="9" t="inlineStr">
        <is>
          <t>Paramètre</t>
        </is>
      </c>
      <c r="B1" s="9" t="inlineStr">
        <is>
          <t>Valeur</t>
        </is>
      </c>
      <c r="C1" s="9" t="inlineStr">
        <is>
          <t>Description</t>
        </is>
      </c>
    </row>
    <row r="2">
      <c r="A2" s="10" t="inlineStr">
        <is>
          <t>date_valorisation</t>
        </is>
      </c>
      <c r="B2" s="11" t="inlineStr">
        <is>
          <t>31/12/2025</t>
        </is>
      </c>
      <c r="C2" s="10" t="inlineStr">
        <is>
          <t>Date de valorisation</t>
        </is>
      </c>
    </row>
    <row r="3">
      <c r="A3" s="10" t="inlineStr">
        <is>
          <t>horizon</t>
        </is>
      </c>
      <c r="B3" s="11" t="n">
        <v>50</v>
      </c>
      <c r="C3" s="10" t="inlineStr">
        <is>
          <t>Horizon de projection (années), run-off sans affaires nouvelles</t>
        </is>
      </c>
    </row>
    <row r="4">
      <c r="A4" s="10" t="inlineStr">
        <is>
          <t>nb_scenarios</t>
        </is>
      </c>
      <c r="B4" s="11" t="n">
        <v>2000</v>
      </c>
      <c r="C4" s="10" t="inlineStr">
        <is>
          <t>Nombre de scénarios Monte-Carlo (variables antithétiques)</t>
        </is>
      </c>
    </row>
    <row r="5">
      <c r="A5" s="10" t="inlineStr">
        <is>
          <t>graine</t>
        </is>
      </c>
      <c r="B5" s="11" t="n">
        <v>12345</v>
      </c>
      <c r="C5" s="10" t="inlineStr">
        <is>
          <t>Graine du générateur aléatoire</t>
        </is>
      </c>
    </row>
    <row r="6">
      <c r="A6" s="10" t="inlineStr">
        <is>
          <t>hw_a</t>
        </is>
      </c>
      <c r="B6" s="11" t="n">
        <v>0.08</v>
      </c>
      <c r="C6" s="10" t="inlineStr">
        <is>
          <t>Hull-White : vitesse de retour à la moyenne</t>
        </is>
      </c>
    </row>
    <row r="7">
      <c r="A7" s="10" t="inlineStr">
        <is>
          <t>hw_sigma</t>
        </is>
      </c>
      <c r="B7" s="11" t="n">
        <v>0.011</v>
      </c>
      <c r="C7" s="10" t="inlineStr">
        <is>
          <t>Hull-White : volatilité du taux court (absolue)</t>
        </is>
      </c>
    </row>
    <row r="8">
      <c r="A8" s="10" t="inlineStr">
        <is>
          <t>corr_taux_actions</t>
        </is>
      </c>
      <c r="B8" s="11" t="n">
        <v>0.2</v>
      </c>
      <c r="C8" s="10" t="inlineStr">
        <is>
          <t>Corrélation taux / actions</t>
        </is>
      </c>
    </row>
    <row r="9">
      <c r="A9" s="10" t="inlineStr">
        <is>
          <t>corr_actions_immo</t>
        </is>
      </c>
      <c r="B9" s="11" t="n">
        <v>0.5</v>
      </c>
      <c r="C9" s="10" t="inlineStr">
        <is>
          <t>Corrélation actions / immobilier</t>
        </is>
      </c>
    </row>
    <row r="10">
      <c r="A10" s="10" t="inlineStr">
        <is>
          <t>vol_actions</t>
        </is>
      </c>
      <c r="B10" s="11" t="n">
        <v>0.18</v>
      </c>
      <c r="C10" s="10" t="inlineStr">
        <is>
          <t>Volatilité annuelle des actions</t>
        </is>
      </c>
    </row>
    <row r="11">
      <c r="A11" s="10" t="inlineStr">
        <is>
          <t>vol_immo</t>
        </is>
      </c>
      <c r="B11" s="11" t="n">
        <v>0.09</v>
      </c>
      <c r="C11" s="10" t="inlineStr">
        <is>
          <t>Volatilité annuelle de l'immobilier</t>
        </is>
      </c>
    </row>
    <row r="12">
      <c r="A12" s="10" t="inlineStr">
        <is>
          <t>div_actions</t>
        </is>
      </c>
      <c r="B12" s="11" t="n">
        <v>0.03</v>
      </c>
      <c r="C12" s="10" t="inlineStr">
        <is>
          <t>Taux de dividende actions</t>
        </is>
      </c>
    </row>
    <row r="13">
      <c r="A13" s="10" t="inlineStr">
        <is>
          <t>loyer_immo</t>
        </is>
      </c>
      <c r="B13" s="11" t="n">
        <v>0.04</v>
      </c>
      <c r="C13" s="10" t="inlineStr">
        <is>
          <t>Taux de loyer immobilier</t>
        </is>
      </c>
    </row>
    <row r="14">
      <c r="A14" s="10" t="inlineStr">
        <is>
          <t>taux_realisation_pvl</t>
        </is>
      </c>
      <c r="B14" s="11" t="n">
        <v>0.08</v>
      </c>
      <c r="C14" s="10" t="inlineStr">
        <is>
          <t>Part des plus-values latentes actions/immo réalisée chaque année</t>
        </is>
      </c>
    </row>
    <row r="15">
      <c r="A15" s="10" t="inlineStr">
        <is>
          <t>ratio_pb</t>
        </is>
      </c>
      <c r="B15" s="11" t="n">
        <v>0.9</v>
      </c>
      <c r="C15" s="10" t="inlineStr">
        <is>
          <t>Taux de participation aux bénéfices (sur produits financiers)</t>
        </is>
      </c>
    </row>
    <row r="16">
      <c r="A16" s="10" t="inlineStr">
        <is>
          <t>frais_gestion_encours</t>
        </is>
      </c>
      <c r="B16" s="11" t="n">
        <v>0.008</v>
      </c>
      <c r="C16" s="10" t="inlineStr">
        <is>
          <t>Frais de gestion prélevés sur l'encours (% PM)</t>
        </is>
      </c>
    </row>
    <row r="17">
      <c r="A17" s="10" t="inlineStr">
        <is>
          <t>frais_generaux</t>
        </is>
      </c>
      <c r="B17" s="11" t="n">
        <v>0.004</v>
      </c>
      <c r="C17" s="10" t="inlineStr">
        <is>
          <t>Frais généraux de l'assureur (% PM)</t>
        </is>
      </c>
    </row>
    <row r="18">
      <c r="A18" s="10" t="inlineStr">
        <is>
          <t>mortalite</t>
        </is>
      </c>
      <c r="B18" s="11" t="n">
        <v>0.004</v>
      </c>
      <c r="C18" s="10" t="inlineStr">
        <is>
          <t>Taux de décès annuel</t>
        </is>
      </c>
    </row>
    <row r="19">
      <c r="A19" s="10" t="inlineStr">
        <is>
          <t>rachat_pente</t>
        </is>
      </c>
      <c r="B19" s="11" t="n">
        <v>1.2</v>
      </c>
      <c r="C19" s="10" t="inlineStr">
        <is>
          <t>Sensibilité du taux de rachat à l'écart (taux concurrent - taux servi)</t>
        </is>
      </c>
    </row>
    <row r="20">
      <c r="A20" s="10" t="inlineStr">
        <is>
          <t>ecart_concurrent</t>
        </is>
      </c>
      <c r="B20" s="11" t="n">
        <v>0.006</v>
      </c>
      <c r="C20" s="10" t="inlineStr">
        <is>
          <t>Taux concurrent = taux 10 ans - cet écart</t>
        </is>
      </c>
    </row>
    <row r="21">
      <c r="A21" s="10" t="inlineStr">
        <is>
          <t>rachat_plafond</t>
        </is>
      </c>
      <c r="B21" s="11" t="n">
        <v>0.35</v>
      </c>
      <c r="C21" s="10" t="inlineStr">
        <is>
          <t>Plafond du taux de rachat annuel</t>
        </is>
      </c>
    </row>
    <row r="22">
      <c r="A22" s="10" t="inlineStr">
        <is>
          <t>ppb_initiale</t>
        </is>
      </c>
      <c r="B22" s="11" t="n">
        <v>27</v>
      </c>
      <c r="C22" s="10" t="inlineStr">
        <is>
          <t>Provision pour participation aux excédents initiale (M€)</t>
        </is>
      </c>
    </row>
    <row r="23">
      <c r="A23" s="10" t="inlineStr">
        <is>
          <t>ppb_plafond</t>
        </is>
      </c>
      <c r="B23" s="11" t="n">
        <v>0.06</v>
      </c>
      <c r="C23" s="10" t="inlineStr">
        <is>
          <t>Plafond de la PPB (% PM)</t>
        </is>
      </c>
    </row>
    <row r="24">
      <c r="A24" s="10" t="inlineStr">
        <is>
          <t>taux_servi_precedent</t>
        </is>
      </c>
      <c r="B24" s="11" t="n">
        <v>0.023</v>
      </c>
      <c r="C24" s="10" t="inlineStr">
        <is>
          <t>Taux servi 2025</t>
        </is>
      </c>
    </row>
    <row r="25">
      <c r="A25" s="10" t="inlineStr">
        <is>
          <t>tresorerie_cible</t>
        </is>
      </c>
      <c r="B25" s="11" t="n">
        <v>0.05</v>
      </c>
      <c r="C25" s="10" t="inlineStr">
        <is>
          <t>Trésorerie cible (% PM + PPB)</t>
        </is>
      </c>
    </row>
    <row r="26">
      <c r="A26" s="10" t="inlineStr">
        <is>
          <t>maturite_reinvestissement</t>
        </is>
      </c>
      <c r="B26" s="11" t="n">
        <v>10</v>
      </c>
      <c r="C26" s="10" t="inlineStr">
        <is>
          <t>Maturité des obligations de réinvestissement (ans)</t>
        </is>
      </c>
    </row>
    <row r="27">
      <c r="A27" s="10" t="inlineStr">
        <is>
          <t>spread_reinvestissement</t>
        </is>
      </c>
      <c r="B27" s="11" t="n">
        <v>0.0035</v>
      </c>
      <c r="C27" s="10" t="inlineStr">
        <is>
          <t>Spread moyen des obligations de réinvestissement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9" t="inlineStr">
        <is>
          <t>Maturité (ans)</t>
        </is>
      </c>
      <c r="B1" s="9" t="inlineStr">
        <is>
          <t>Taux zéro-coupon</t>
        </is>
      </c>
      <c r="C1" s="4" t="inlineStr">
        <is>
          <t>Prix ZC</t>
        </is>
      </c>
      <c r="D1" s="4" t="inlineStr">
        <is>
          <t>Taux forward 1 an</t>
        </is>
      </c>
      <c r="F1" s="12" t="inlineStr">
        <is>
          <t>Source : courbe illustrative construite pour le projet. En situation réelle, utiliser la courbe EIOPA (RFR) publiée.</t>
        </is>
      </c>
    </row>
    <row r="2">
      <c r="A2" s="10" t="n">
        <v>1</v>
      </c>
      <c r="B2" s="13" t="n">
        <v>0.02</v>
      </c>
      <c r="C2" s="14">
        <f>1/(1+B2)^A2</f>
        <v/>
      </c>
      <c r="D2" s="15">
        <f>1/C2-1</f>
        <v/>
      </c>
    </row>
    <row r="3">
      <c r="A3" s="10" t="n">
        <v>2</v>
      </c>
      <c r="B3" s="13" t="n">
        <v>0.0205</v>
      </c>
      <c r="C3" s="14">
        <f>1/(1+B3)^A3</f>
        <v/>
      </c>
      <c r="D3" s="15">
        <f>C2/C3-1</f>
        <v/>
      </c>
    </row>
    <row r="4">
      <c r="A4" s="10" t="n">
        <v>3</v>
      </c>
      <c r="B4" s="13" t="n">
        <v>0.022</v>
      </c>
      <c r="C4" s="14">
        <f>1/(1+B4)^A4</f>
        <v/>
      </c>
      <c r="D4" s="15">
        <f>C3/C4-1</f>
        <v/>
      </c>
    </row>
    <row r="5">
      <c r="A5" s="10" t="n">
        <v>4</v>
      </c>
      <c r="B5" s="13" t="n">
        <v>0.02325</v>
      </c>
      <c r="C5" s="14">
        <f>1/(1+B5)^A5</f>
        <v/>
      </c>
      <c r="D5" s="15">
        <f>C4/C5-1</f>
        <v/>
      </c>
    </row>
    <row r="6">
      <c r="A6" s="10" t="n">
        <v>5</v>
      </c>
      <c r="B6" s="13" t="n">
        <v>0.0245</v>
      </c>
      <c r="C6" s="14">
        <f>1/(1+B6)^A6</f>
        <v/>
      </c>
      <c r="D6" s="15">
        <f>C5/C6-1</f>
        <v/>
      </c>
    </row>
    <row r="7">
      <c r="A7" s="10" t="n">
        <v>6</v>
      </c>
      <c r="B7" s="13" t="n">
        <v>0.0255</v>
      </c>
      <c r="C7" s="14">
        <f>1/(1+B7)^A7</f>
        <v/>
      </c>
      <c r="D7" s="15">
        <f>C6/C7-1</f>
        <v/>
      </c>
    </row>
    <row r="8">
      <c r="A8" s="10" t="n">
        <v>7</v>
      </c>
      <c r="B8" s="13" t="n">
        <v>0.0265</v>
      </c>
      <c r="C8" s="14">
        <f>1/(1+B8)^A8</f>
        <v/>
      </c>
      <c r="D8" s="15">
        <f>C7/C8-1</f>
        <v/>
      </c>
    </row>
    <row r="9">
      <c r="A9" s="10" t="n">
        <v>8</v>
      </c>
      <c r="B9" s="13" t="n">
        <v>0.02717</v>
      </c>
      <c r="C9" s="14">
        <f>1/(1+B9)^A9</f>
        <v/>
      </c>
      <c r="D9" s="15">
        <f>C8/C9-1</f>
        <v/>
      </c>
    </row>
    <row r="10">
      <c r="A10" s="10" t="n">
        <v>9</v>
      </c>
      <c r="B10" s="13" t="n">
        <v>0.02783</v>
      </c>
      <c r="C10" s="14">
        <f>1/(1+B10)^A10</f>
        <v/>
      </c>
      <c r="D10" s="15">
        <f>C9/C10-1</f>
        <v/>
      </c>
    </row>
    <row r="11">
      <c r="A11" s="10" t="n">
        <v>10</v>
      </c>
      <c r="B11" s="13" t="n">
        <v>0.0285</v>
      </c>
      <c r="C11" s="14">
        <f>1/(1+B11)^A11</f>
        <v/>
      </c>
      <c r="D11" s="15">
        <f>C10/C11-1</f>
        <v/>
      </c>
    </row>
    <row r="12">
      <c r="A12" s="10" t="n">
        <v>11</v>
      </c>
      <c r="B12" s="13" t="n">
        <v>0.029</v>
      </c>
      <c r="C12" s="14">
        <f>1/(1+B12)^A12</f>
        <v/>
      </c>
      <c r="D12" s="15">
        <f>C11/C12-1</f>
        <v/>
      </c>
    </row>
    <row r="13">
      <c r="A13" s="10" t="n">
        <v>12</v>
      </c>
      <c r="B13" s="13" t="n">
        <v>0.0295</v>
      </c>
      <c r="C13" s="14">
        <f>1/(1+B13)^A13</f>
        <v/>
      </c>
      <c r="D13" s="15">
        <f>C12/C13-1</f>
        <v/>
      </c>
    </row>
    <row r="14">
      <c r="A14" s="10" t="n">
        <v>13</v>
      </c>
      <c r="B14" s="13" t="n">
        <v>0.03</v>
      </c>
      <c r="C14" s="14">
        <f>1/(1+B14)^A14</f>
        <v/>
      </c>
      <c r="D14" s="15">
        <f>C13/C14-1</f>
        <v/>
      </c>
    </row>
    <row r="15">
      <c r="A15" s="10" t="n">
        <v>14</v>
      </c>
      <c r="B15" s="13" t="n">
        <v>0.0305</v>
      </c>
      <c r="C15" s="14">
        <f>1/(1+B15)^A15</f>
        <v/>
      </c>
      <c r="D15" s="15">
        <f>C14/C15-1</f>
        <v/>
      </c>
    </row>
    <row r="16">
      <c r="A16" s="10" t="n">
        <v>15</v>
      </c>
      <c r="B16" s="13" t="n">
        <v>0.031</v>
      </c>
      <c r="C16" s="14">
        <f>1/(1+B16)^A16</f>
        <v/>
      </c>
      <c r="D16" s="15">
        <f>C15/C16-1</f>
        <v/>
      </c>
    </row>
    <row r="17">
      <c r="A17" s="10" t="n">
        <v>16</v>
      </c>
      <c r="B17" s="13" t="n">
        <v>0.0312</v>
      </c>
      <c r="C17" s="14">
        <f>1/(1+B17)^A17</f>
        <v/>
      </c>
      <c r="D17" s="15">
        <f>C16/C17-1</f>
        <v/>
      </c>
    </row>
    <row r="18">
      <c r="A18" s="10" t="n">
        <v>17</v>
      </c>
      <c r="B18" s="13" t="n">
        <v>0.0314</v>
      </c>
      <c r="C18" s="14">
        <f>1/(1+B18)^A18</f>
        <v/>
      </c>
      <c r="D18" s="15">
        <f>C17/C18-1</f>
        <v/>
      </c>
    </row>
    <row r="19">
      <c r="A19" s="10" t="n">
        <v>18</v>
      </c>
      <c r="B19" s="13" t="n">
        <v>0.0316</v>
      </c>
      <c r="C19" s="14">
        <f>1/(1+B19)^A19</f>
        <v/>
      </c>
      <c r="D19" s="15">
        <f>C18/C19-1</f>
        <v/>
      </c>
    </row>
    <row r="20">
      <c r="A20" s="10" t="n">
        <v>19</v>
      </c>
      <c r="B20" s="13" t="n">
        <v>0.0318</v>
      </c>
      <c r="C20" s="14">
        <f>1/(1+B20)^A20</f>
        <v/>
      </c>
      <c r="D20" s="15">
        <f>C19/C20-1</f>
        <v/>
      </c>
    </row>
    <row r="21">
      <c r="A21" s="10" t="n">
        <v>20</v>
      </c>
      <c r="B21" s="13" t="n">
        <v>0.032</v>
      </c>
      <c r="C21" s="14">
        <f>1/(1+B21)^A21</f>
        <v/>
      </c>
      <c r="D21" s="15">
        <f>C20/C21-1</f>
        <v/>
      </c>
    </row>
    <row r="22">
      <c r="A22" s="10" t="n">
        <v>21</v>
      </c>
      <c r="B22" s="13" t="n">
        <v>0.0319</v>
      </c>
      <c r="C22" s="14">
        <f>1/(1+B22)^A22</f>
        <v/>
      </c>
      <c r="D22" s="15">
        <f>C21/C22-1</f>
        <v/>
      </c>
    </row>
    <row r="23">
      <c r="A23" s="10" t="n">
        <v>22</v>
      </c>
      <c r="B23" s="13" t="n">
        <v>0.0318</v>
      </c>
      <c r="C23" s="14">
        <f>1/(1+B23)^A23</f>
        <v/>
      </c>
      <c r="D23" s="15">
        <f>C22/C23-1</f>
        <v/>
      </c>
    </row>
    <row r="24">
      <c r="A24" s="10" t="n">
        <v>23</v>
      </c>
      <c r="B24" s="13" t="n">
        <v>0.0317</v>
      </c>
      <c r="C24" s="14">
        <f>1/(1+B24)^A24</f>
        <v/>
      </c>
      <c r="D24" s="15">
        <f>C23/C24-1</f>
        <v/>
      </c>
    </row>
    <row r="25">
      <c r="A25" s="10" t="n">
        <v>24</v>
      </c>
      <c r="B25" s="13" t="n">
        <v>0.0316</v>
      </c>
      <c r="C25" s="14">
        <f>1/(1+B25)^A25</f>
        <v/>
      </c>
      <c r="D25" s="15">
        <f>C24/C25-1</f>
        <v/>
      </c>
    </row>
    <row r="26">
      <c r="A26" s="10" t="n">
        <v>25</v>
      </c>
      <c r="B26" s="13" t="n">
        <v>0.0315</v>
      </c>
      <c r="C26" s="14">
        <f>1/(1+B26)^A26</f>
        <v/>
      </c>
      <c r="D26" s="15">
        <f>C25/C26-1</f>
        <v/>
      </c>
    </row>
    <row r="27">
      <c r="A27" s="10" t="n">
        <v>26</v>
      </c>
      <c r="B27" s="13" t="n">
        <v>0.0314</v>
      </c>
      <c r="C27" s="14">
        <f>1/(1+B27)^A27</f>
        <v/>
      </c>
      <c r="D27" s="15">
        <f>C26/C27-1</f>
        <v/>
      </c>
    </row>
    <row r="28">
      <c r="A28" s="10" t="n">
        <v>27</v>
      </c>
      <c r="B28" s="13" t="n">
        <v>0.0313</v>
      </c>
      <c r="C28" s="14">
        <f>1/(1+B28)^A28</f>
        <v/>
      </c>
      <c r="D28" s="15">
        <f>C27/C28-1</f>
        <v/>
      </c>
    </row>
    <row r="29">
      <c r="A29" s="10" t="n">
        <v>28</v>
      </c>
      <c r="B29" s="13" t="n">
        <v>0.0312</v>
      </c>
      <c r="C29" s="14">
        <f>1/(1+B29)^A29</f>
        <v/>
      </c>
      <c r="D29" s="15">
        <f>C28/C29-1</f>
        <v/>
      </c>
    </row>
    <row r="30">
      <c r="A30" s="10" t="n">
        <v>29</v>
      </c>
      <c r="B30" s="13" t="n">
        <v>0.0311</v>
      </c>
      <c r="C30" s="14">
        <f>1/(1+B30)^A30</f>
        <v/>
      </c>
      <c r="D30" s="15">
        <f>C29/C30-1</f>
        <v/>
      </c>
    </row>
    <row r="31">
      <c r="A31" s="10" t="n">
        <v>30</v>
      </c>
      <c r="B31" s="13" t="n">
        <v>0.031</v>
      </c>
      <c r="C31" s="14">
        <f>1/(1+B31)^A31</f>
        <v/>
      </c>
      <c r="D31" s="15">
        <f>C30/C31-1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</cols>
  <sheetData>
    <row r="1">
      <c r="A1" s="9" t="inlineStr">
        <is>
          <t>ID</t>
        </is>
      </c>
      <c r="B1" s="9" t="inlineStr">
        <is>
          <t>Classe d'actif</t>
        </is>
      </c>
      <c r="C1" s="9" t="inlineStr">
        <is>
          <t>Sous-classe</t>
        </is>
      </c>
      <c r="D1" s="9" t="inlineStr">
        <is>
          <t>Notation</t>
        </is>
      </c>
      <c r="E1" s="9" t="inlineStr">
        <is>
          <t>Coupon</t>
        </is>
      </c>
      <c r="F1" s="9" t="inlineStr">
        <is>
          <t>Maturité résiduelle (ans)</t>
        </is>
      </c>
      <c r="G1" s="9" t="inlineStr">
        <is>
          <t>Nominal (M€)</t>
        </is>
      </c>
      <c r="H1" s="9" t="inlineStr">
        <is>
          <t>Valeur comptable (M€)</t>
        </is>
      </c>
      <c r="I1" s="9" t="inlineStr">
        <is>
          <t>Valeur de marché (M€)</t>
        </is>
      </c>
      <c r="J1" s="9" t="inlineStr">
        <is>
          <t>Duration modifiée</t>
        </is>
      </c>
      <c r="K1" s="9" t="inlineStr">
        <is>
          <t>Spread de crédit</t>
        </is>
      </c>
      <c r="L1" s="4" t="inlineStr">
        <is>
          <t>Plus/moins-value latente (M€)</t>
        </is>
      </c>
    </row>
    <row r="2">
      <c r="A2" s="10" t="inlineStr">
        <is>
          <t>FR100000</t>
        </is>
      </c>
      <c r="B2" s="10" t="inlineStr">
        <is>
          <t>Obligations souveraines</t>
        </is>
      </c>
      <c r="C2" s="10" t="inlineStr">
        <is>
          <t>OAT/Bund</t>
        </is>
      </c>
      <c r="D2" s="10" t="inlineStr">
        <is>
          <t>AA</t>
        </is>
      </c>
      <c r="E2" s="13" t="n">
        <v>0.02125</v>
      </c>
      <c r="F2" s="11" t="n">
        <v>2</v>
      </c>
      <c r="G2" s="16" t="n">
        <v>25.64</v>
      </c>
      <c r="H2" s="16" t="n">
        <v>25.94</v>
      </c>
      <c r="I2" s="16" t="n">
        <v>25.68</v>
      </c>
      <c r="J2" s="17" t="n">
        <v>1.98</v>
      </c>
      <c r="K2" s="13" t="n">
        <v>0</v>
      </c>
      <c r="L2" s="18">
        <f>I2-H2</f>
        <v/>
      </c>
    </row>
    <row r="3">
      <c r="A3" s="10" t="inlineStr">
        <is>
          <t>FR100001</t>
        </is>
      </c>
      <c r="B3" s="10" t="inlineStr">
        <is>
          <t>Obligations souveraines</t>
        </is>
      </c>
      <c r="C3" s="10" t="inlineStr">
        <is>
          <t>OAT/Bund</t>
        </is>
      </c>
      <c r="D3" s="10" t="inlineStr">
        <is>
          <t>AA</t>
        </is>
      </c>
      <c r="E3" s="13" t="n">
        <v>0.015</v>
      </c>
      <c r="F3" s="11" t="n">
        <v>4</v>
      </c>
      <c r="G3" s="16" t="n">
        <v>17.52</v>
      </c>
      <c r="H3" s="16" t="n">
        <v>17.83</v>
      </c>
      <c r="I3" s="16" t="n">
        <v>16.98</v>
      </c>
      <c r="J3" s="17" t="n">
        <v>3.91</v>
      </c>
      <c r="K3" s="13" t="n">
        <v>0</v>
      </c>
      <c r="L3" s="18">
        <f>I3-H3</f>
        <v/>
      </c>
    </row>
    <row r="4">
      <c r="A4" s="10" t="inlineStr">
        <is>
          <t>FR100002</t>
        </is>
      </c>
      <c r="B4" s="10" t="inlineStr">
        <is>
          <t>Obligations souveraines</t>
        </is>
      </c>
      <c r="C4" s="10" t="inlineStr">
        <is>
          <t>OAT/Bund</t>
        </is>
      </c>
      <c r="D4" s="10" t="inlineStr">
        <is>
          <t>AA</t>
        </is>
      </c>
      <c r="E4" s="13" t="n">
        <v>0.0225</v>
      </c>
      <c r="F4" s="11" t="n">
        <v>4</v>
      </c>
      <c r="G4" s="16" t="n">
        <v>15.07</v>
      </c>
      <c r="H4" s="16" t="n">
        <v>14.94</v>
      </c>
      <c r="I4" s="16" t="n">
        <v>15.03</v>
      </c>
      <c r="J4" s="17" t="n">
        <v>3.87</v>
      </c>
      <c r="K4" s="13" t="n">
        <v>0</v>
      </c>
      <c r="L4" s="18">
        <f>I4-H4</f>
        <v/>
      </c>
    </row>
    <row r="5">
      <c r="A5" s="10" t="inlineStr">
        <is>
          <t>FR100003</t>
        </is>
      </c>
      <c r="B5" s="10" t="inlineStr">
        <is>
          <t>Obligations souveraines</t>
        </is>
      </c>
      <c r="C5" s="10" t="inlineStr">
        <is>
          <t>OAT/Bund</t>
        </is>
      </c>
      <c r="D5" s="10" t="inlineStr">
        <is>
          <t>AA</t>
        </is>
      </c>
      <c r="E5" s="13" t="n">
        <v>0.03375</v>
      </c>
      <c r="F5" s="11" t="n">
        <v>4</v>
      </c>
      <c r="G5" s="16" t="n">
        <v>25.98</v>
      </c>
      <c r="H5" s="16" t="n">
        <v>25.79</v>
      </c>
      <c r="I5" s="16" t="n">
        <v>27.02</v>
      </c>
      <c r="J5" s="17" t="n">
        <v>3.81</v>
      </c>
      <c r="K5" s="13" t="n">
        <v>0</v>
      </c>
      <c r="L5" s="18">
        <f>I5-H5</f>
        <v/>
      </c>
    </row>
    <row r="6">
      <c r="A6" s="10" t="inlineStr">
        <is>
          <t>FR100004</t>
        </is>
      </c>
      <c r="B6" s="10" t="inlineStr">
        <is>
          <t>Obligations souveraines</t>
        </is>
      </c>
      <c r="C6" s="10" t="inlineStr">
        <is>
          <t>OAT/Bund</t>
        </is>
      </c>
      <c r="D6" s="10" t="inlineStr">
        <is>
          <t>AA</t>
        </is>
      </c>
      <c r="E6" s="13" t="n">
        <v>0.03</v>
      </c>
      <c r="F6" s="11" t="n">
        <v>4</v>
      </c>
      <c r="G6" s="16" t="n">
        <v>22.33</v>
      </c>
      <c r="H6" s="16" t="n">
        <v>21.56</v>
      </c>
      <c r="I6" s="16" t="n">
        <v>22.91</v>
      </c>
      <c r="J6" s="17" t="n">
        <v>3.83</v>
      </c>
      <c r="K6" s="13" t="n">
        <v>0</v>
      </c>
      <c r="L6" s="18">
        <f>I6-H6</f>
        <v/>
      </c>
    </row>
    <row r="7">
      <c r="A7" s="10" t="inlineStr">
        <is>
          <t>FR100005</t>
        </is>
      </c>
      <c r="B7" s="10" t="inlineStr">
        <is>
          <t>Obligations souveraines</t>
        </is>
      </c>
      <c r="C7" s="10" t="inlineStr">
        <is>
          <t>OAT/Bund</t>
        </is>
      </c>
      <c r="D7" s="10" t="inlineStr">
        <is>
          <t>AA</t>
        </is>
      </c>
      <c r="E7" s="13" t="n">
        <v>0.0225</v>
      </c>
      <c r="F7" s="11" t="n">
        <v>5</v>
      </c>
      <c r="G7" s="16" t="n">
        <v>11.65</v>
      </c>
      <c r="H7" s="16" t="n">
        <v>12</v>
      </c>
      <c r="I7" s="16" t="n">
        <v>11.55</v>
      </c>
      <c r="J7" s="17" t="n">
        <v>4.78</v>
      </c>
      <c r="K7" s="13" t="n">
        <v>0</v>
      </c>
      <c r="L7" s="18">
        <f>I7-H7</f>
        <v/>
      </c>
    </row>
    <row r="8">
      <c r="A8" s="10" t="inlineStr">
        <is>
          <t>FR100006</t>
        </is>
      </c>
      <c r="B8" s="10" t="inlineStr">
        <is>
          <t>Obligations souveraines</t>
        </is>
      </c>
      <c r="C8" s="10" t="inlineStr">
        <is>
          <t>OAT/Bund</t>
        </is>
      </c>
      <c r="D8" s="10" t="inlineStr">
        <is>
          <t>AA</t>
        </is>
      </c>
      <c r="E8" s="13" t="n">
        <v>0.0225</v>
      </c>
      <c r="F8" s="11" t="n">
        <v>5</v>
      </c>
      <c r="G8" s="16" t="n">
        <v>10.19</v>
      </c>
      <c r="H8" s="16" t="n">
        <v>9.93</v>
      </c>
      <c r="I8" s="16" t="n">
        <v>10.1</v>
      </c>
      <c r="J8" s="17" t="n">
        <v>4.78</v>
      </c>
      <c r="K8" s="13" t="n">
        <v>0</v>
      </c>
      <c r="L8" s="18">
        <f>I8-H8</f>
        <v/>
      </c>
    </row>
    <row r="9">
      <c r="A9" s="10" t="inlineStr">
        <is>
          <t>FR100007</t>
        </is>
      </c>
      <c r="B9" s="10" t="inlineStr">
        <is>
          <t>Obligations souveraines</t>
        </is>
      </c>
      <c r="C9" s="10" t="inlineStr">
        <is>
          <t>OAT/Bund</t>
        </is>
      </c>
      <c r="D9" s="10" t="inlineStr">
        <is>
          <t>AA</t>
        </is>
      </c>
      <c r="E9" s="13" t="n">
        <v>0.02875</v>
      </c>
      <c r="F9" s="11" t="n">
        <v>5</v>
      </c>
      <c r="G9" s="16" t="n">
        <v>25.06</v>
      </c>
      <c r="H9" s="16" t="n">
        <v>25.28</v>
      </c>
      <c r="I9" s="16" t="n">
        <v>25.57</v>
      </c>
      <c r="J9" s="17" t="n">
        <v>4.73</v>
      </c>
      <c r="K9" s="13" t="n">
        <v>0</v>
      </c>
      <c r="L9" s="18">
        <f>I9-H9</f>
        <v/>
      </c>
    </row>
    <row r="10">
      <c r="A10" s="10" t="inlineStr">
        <is>
          <t>FR100008</t>
        </is>
      </c>
      <c r="B10" s="10" t="inlineStr">
        <is>
          <t>Obligations souveraines</t>
        </is>
      </c>
      <c r="C10" s="10" t="inlineStr">
        <is>
          <t>OAT/Bund</t>
        </is>
      </c>
      <c r="D10" s="10" t="inlineStr">
        <is>
          <t>AA</t>
        </is>
      </c>
      <c r="E10" s="13" t="n">
        <v>0.025</v>
      </c>
      <c r="F10" s="11" t="n">
        <v>5</v>
      </c>
      <c r="G10" s="16" t="n">
        <v>20.18</v>
      </c>
      <c r="H10" s="16" t="n">
        <v>19.97</v>
      </c>
      <c r="I10" s="16" t="n">
        <v>20.24</v>
      </c>
      <c r="J10" s="17" t="n">
        <v>4.76</v>
      </c>
      <c r="K10" s="13" t="n">
        <v>0</v>
      </c>
      <c r="L10" s="18">
        <f>I10-H10</f>
        <v/>
      </c>
    </row>
    <row r="11">
      <c r="A11" s="10" t="inlineStr">
        <is>
          <t>FR100009</t>
        </is>
      </c>
      <c r="B11" s="10" t="inlineStr">
        <is>
          <t>Obligations souveraines</t>
        </is>
      </c>
      <c r="C11" s="10" t="inlineStr">
        <is>
          <t>OAT/Bund</t>
        </is>
      </c>
      <c r="D11" s="10" t="inlineStr">
        <is>
          <t>AA</t>
        </is>
      </c>
      <c r="E11" s="13" t="n">
        <v>0.03375</v>
      </c>
      <c r="F11" s="11" t="n">
        <v>7</v>
      </c>
      <c r="G11" s="16" t="n">
        <v>18.57</v>
      </c>
      <c r="H11" s="16" t="n">
        <v>18.86</v>
      </c>
      <c r="I11" s="16" t="n">
        <v>19.45</v>
      </c>
      <c r="J11" s="17" t="n">
        <v>6.36</v>
      </c>
      <c r="K11" s="13" t="n">
        <v>0</v>
      </c>
      <c r="L11" s="18">
        <f>I11-H11</f>
        <v/>
      </c>
    </row>
    <row r="12">
      <c r="A12" s="10" t="inlineStr">
        <is>
          <t>FR100010</t>
        </is>
      </c>
      <c r="B12" s="10" t="inlineStr">
        <is>
          <t>Obligations souveraines</t>
        </is>
      </c>
      <c r="C12" s="10" t="inlineStr">
        <is>
          <t>OAT/Bund</t>
        </is>
      </c>
      <c r="D12" s="10" t="inlineStr">
        <is>
          <t>AA</t>
        </is>
      </c>
      <c r="E12" s="13" t="n">
        <v>0.015</v>
      </c>
      <c r="F12" s="11" t="n">
        <v>7</v>
      </c>
      <c r="G12" s="16" t="n">
        <v>10.91</v>
      </c>
      <c r="H12" s="16" t="n">
        <v>10.62</v>
      </c>
      <c r="I12" s="16" t="n">
        <v>10.13</v>
      </c>
      <c r="J12" s="17" t="n">
        <v>6.68</v>
      </c>
      <c r="K12" s="13" t="n">
        <v>0</v>
      </c>
      <c r="L12" s="18">
        <f>I12-H12</f>
        <v/>
      </c>
    </row>
    <row r="13">
      <c r="A13" s="10" t="inlineStr">
        <is>
          <t>FR100011</t>
        </is>
      </c>
      <c r="B13" s="10" t="inlineStr">
        <is>
          <t>Obligations souveraines</t>
        </is>
      </c>
      <c r="C13" s="10" t="inlineStr">
        <is>
          <t>OAT/Bund</t>
        </is>
      </c>
      <c r="D13" s="10" t="inlineStr">
        <is>
          <t>AA</t>
        </is>
      </c>
      <c r="E13" s="13" t="n">
        <v>0.0275</v>
      </c>
      <c r="F13" s="11" t="n">
        <v>8</v>
      </c>
      <c r="G13" s="16" t="n">
        <v>24.63</v>
      </c>
      <c r="H13" s="16" t="n">
        <v>24.77</v>
      </c>
      <c r="I13" s="16" t="n">
        <v>24.74</v>
      </c>
      <c r="J13" s="17" t="n">
        <v>7.28</v>
      </c>
      <c r="K13" s="13" t="n">
        <v>0</v>
      </c>
      <c r="L13" s="18">
        <f>I13-H13</f>
        <v/>
      </c>
    </row>
    <row r="14">
      <c r="A14" s="10" t="inlineStr">
        <is>
          <t>FR100012</t>
        </is>
      </c>
      <c r="B14" s="10" t="inlineStr">
        <is>
          <t>Obligations souveraines</t>
        </is>
      </c>
      <c r="C14" s="10" t="inlineStr">
        <is>
          <t>OAT/Bund</t>
        </is>
      </c>
      <c r="D14" s="10" t="inlineStr">
        <is>
          <t>AA</t>
        </is>
      </c>
      <c r="E14" s="13" t="n">
        <v>0.045</v>
      </c>
      <c r="F14" s="11" t="n">
        <v>9</v>
      </c>
      <c r="G14" s="16" t="n">
        <v>13.91</v>
      </c>
      <c r="H14" s="16" t="n">
        <v>13.8</v>
      </c>
      <c r="I14" s="16" t="n">
        <v>15.84</v>
      </c>
      <c r="J14" s="17" t="n">
        <v>7.68</v>
      </c>
      <c r="K14" s="13" t="n">
        <v>0</v>
      </c>
      <c r="L14" s="18">
        <f>I14-H14</f>
        <v/>
      </c>
    </row>
    <row r="15">
      <c r="A15" s="10" t="inlineStr">
        <is>
          <t>FR100013</t>
        </is>
      </c>
      <c r="B15" s="10" t="inlineStr">
        <is>
          <t>Obligations souveraines</t>
        </is>
      </c>
      <c r="C15" s="10" t="inlineStr">
        <is>
          <t>OAT/Bund</t>
        </is>
      </c>
      <c r="D15" s="10" t="inlineStr">
        <is>
          <t>AAA</t>
        </is>
      </c>
      <c r="E15" s="13" t="n">
        <v>0.0325</v>
      </c>
      <c r="F15" s="11" t="n">
        <v>9</v>
      </c>
      <c r="G15" s="16" t="n">
        <v>19.45</v>
      </c>
      <c r="H15" s="16" t="n">
        <v>19.28</v>
      </c>
      <c r="I15" s="16" t="n">
        <v>20.22</v>
      </c>
      <c r="J15" s="17" t="n">
        <v>7.96</v>
      </c>
      <c r="K15" s="13" t="n">
        <v>0</v>
      </c>
      <c r="L15" s="18">
        <f>I15-H15</f>
        <v/>
      </c>
    </row>
    <row r="16">
      <c r="A16" s="10" t="inlineStr">
        <is>
          <t>FR100014</t>
        </is>
      </c>
      <c r="B16" s="10" t="inlineStr">
        <is>
          <t>Obligations souveraines</t>
        </is>
      </c>
      <c r="C16" s="10" t="inlineStr">
        <is>
          <t>OAT/Bund</t>
        </is>
      </c>
      <c r="D16" s="10" t="inlineStr">
        <is>
          <t>AA</t>
        </is>
      </c>
      <c r="E16" s="13" t="n">
        <v>0.025</v>
      </c>
      <c r="F16" s="11" t="n">
        <v>9</v>
      </c>
      <c r="G16" s="16" t="n">
        <v>9.880000000000001</v>
      </c>
      <c r="H16" s="16" t="n">
        <v>9.800000000000001</v>
      </c>
      <c r="I16" s="16" t="n">
        <v>9.68</v>
      </c>
      <c r="J16" s="17" t="n">
        <v>8.15</v>
      </c>
      <c r="K16" s="13" t="n">
        <v>0</v>
      </c>
      <c r="L16" s="18">
        <f>I16-H16</f>
        <v/>
      </c>
    </row>
    <row r="17">
      <c r="A17" s="10" t="inlineStr">
        <is>
          <t>FR100015</t>
        </is>
      </c>
      <c r="B17" s="10" t="inlineStr">
        <is>
          <t>Obligations souveraines</t>
        </is>
      </c>
      <c r="C17" s="10" t="inlineStr">
        <is>
          <t>OAT/Bund</t>
        </is>
      </c>
      <c r="D17" s="10" t="inlineStr">
        <is>
          <t>AA</t>
        </is>
      </c>
      <c r="E17" s="13" t="n">
        <v>0.0275</v>
      </c>
      <c r="F17" s="11" t="n">
        <v>10</v>
      </c>
      <c r="G17" s="16" t="n">
        <v>11.9</v>
      </c>
      <c r="H17" s="16" t="n">
        <v>11.7</v>
      </c>
      <c r="I17" s="16" t="n">
        <v>11.84</v>
      </c>
      <c r="J17" s="17" t="n">
        <v>8.859999999999999</v>
      </c>
      <c r="K17" s="13" t="n">
        <v>0</v>
      </c>
      <c r="L17" s="18">
        <f>I17-H17</f>
        <v/>
      </c>
    </row>
    <row r="18">
      <c r="A18" s="10" t="inlineStr">
        <is>
          <t>FR100016</t>
        </is>
      </c>
      <c r="B18" s="10" t="inlineStr">
        <is>
          <t>Obligations souveraines</t>
        </is>
      </c>
      <c r="C18" s="10" t="inlineStr">
        <is>
          <t>OAT/Bund</t>
        </is>
      </c>
      <c r="D18" s="10" t="inlineStr">
        <is>
          <t>AA</t>
        </is>
      </c>
      <c r="E18" s="13" t="n">
        <v>0.03</v>
      </c>
      <c r="F18" s="11" t="n">
        <v>10</v>
      </c>
      <c r="G18" s="16" t="n">
        <v>20.04</v>
      </c>
      <c r="H18" s="16" t="n">
        <v>20.09</v>
      </c>
      <c r="I18" s="16" t="n">
        <v>20.37</v>
      </c>
      <c r="J18" s="17" t="n">
        <v>8.779999999999999</v>
      </c>
      <c r="K18" s="13" t="n">
        <v>0</v>
      </c>
      <c r="L18" s="18">
        <f>I18-H18</f>
        <v/>
      </c>
    </row>
    <row r="19">
      <c r="A19" s="10" t="inlineStr">
        <is>
          <t>FR100017</t>
        </is>
      </c>
      <c r="B19" s="10" t="inlineStr">
        <is>
          <t>Obligations souveraines</t>
        </is>
      </c>
      <c r="C19" s="10" t="inlineStr">
        <is>
          <t>OAT/Bund</t>
        </is>
      </c>
      <c r="D19" s="10" t="inlineStr">
        <is>
          <t>AA</t>
        </is>
      </c>
      <c r="E19" s="13" t="n">
        <v>0.0125</v>
      </c>
      <c r="F19" s="11" t="n">
        <v>11</v>
      </c>
      <c r="G19" s="16" t="n">
        <v>19.15</v>
      </c>
      <c r="H19" s="16" t="n">
        <v>18.65</v>
      </c>
      <c r="I19" s="16" t="n">
        <v>16.24</v>
      </c>
      <c r="J19" s="17" t="n">
        <v>10.26</v>
      </c>
      <c r="K19" s="13" t="n">
        <v>0</v>
      </c>
      <c r="L19" s="18">
        <f>I19-H19</f>
        <v/>
      </c>
    </row>
    <row r="20">
      <c r="A20" s="10" t="inlineStr">
        <is>
          <t>FR100018</t>
        </is>
      </c>
      <c r="B20" s="10" t="inlineStr">
        <is>
          <t>Obligations corporate</t>
        </is>
      </c>
      <c r="C20" s="10" t="inlineStr">
        <is>
          <t>Corporate IG</t>
        </is>
      </c>
      <c r="D20" s="10" t="inlineStr">
        <is>
          <t>BBB</t>
        </is>
      </c>
      <c r="E20" s="13" t="n">
        <v>0.025</v>
      </c>
      <c r="F20" s="11" t="n">
        <v>1</v>
      </c>
      <c r="G20" s="16" t="n">
        <v>11.59</v>
      </c>
      <c r="H20" s="16" t="n">
        <v>11.47</v>
      </c>
      <c r="I20" s="16" t="n">
        <v>11.5</v>
      </c>
      <c r="J20" s="17" t="n">
        <v>1</v>
      </c>
      <c r="K20" s="13" t="n">
        <v>0.013</v>
      </c>
      <c r="L20" s="18">
        <f>I20-H20</f>
        <v/>
      </c>
    </row>
    <row r="21">
      <c r="A21" s="10" t="inlineStr">
        <is>
          <t>FR100019</t>
        </is>
      </c>
      <c r="B21" s="10" t="inlineStr">
        <is>
          <t>Obligations corporate</t>
        </is>
      </c>
      <c r="C21" s="10" t="inlineStr">
        <is>
          <t>Corporate IG</t>
        </is>
      </c>
      <c r="D21" s="10" t="inlineStr">
        <is>
          <t>A</t>
        </is>
      </c>
      <c r="E21" s="13" t="n">
        <v>0.045</v>
      </c>
      <c r="F21" s="11" t="n">
        <v>2</v>
      </c>
      <c r="G21" s="16" t="n">
        <v>10.38</v>
      </c>
      <c r="H21" s="16" t="n">
        <v>10.11</v>
      </c>
      <c r="I21" s="16" t="n">
        <v>10.73</v>
      </c>
      <c r="J21" s="17" t="n">
        <v>1.96</v>
      </c>
      <c r="K21" s="13" t="n">
        <v>0.007</v>
      </c>
      <c r="L21" s="18">
        <f>I21-H21</f>
        <v/>
      </c>
    </row>
    <row r="22">
      <c r="A22" s="10" t="inlineStr">
        <is>
          <t>FR100020</t>
        </is>
      </c>
      <c r="B22" s="10" t="inlineStr">
        <is>
          <t>Obligations corporate</t>
        </is>
      </c>
      <c r="C22" s="10" t="inlineStr">
        <is>
          <t>Corporate IG</t>
        </is>
      </c>
      <c r="D22" s="10" t="inlineStr">
        <is>
          <t>AA</t>
        </is>
      </c>
      <c r="E22" s="13" t="n">
        <v>0.0175</v>
      </c>
      <c r="F22" s="11" t="n">
        <v>3</v>
      </c>
      <c r="G22" s="16" t="n">
        <v>43.49</v>
      </c>
      <c r="H22" s="16" t="n">
        <v>43.44</v>
      </c>
      <c r="I22" s="16" t="n">
        <v>42.93</v>
      </c>
      <c r="J22" s="17" t="n">
        <v>2.95</v>
      </c>
      <c r="K22" s="13" t="n">
        <v>0</v>
      </c>
      <c r="L22" s="18">
        <f>I22-H22</f>
        <v/>
      </c>
    </row>
    <row r="23">
      <c r="A23" s="10" t="inlineStr">
        <is>
          <t>FR100021</t>
        </is>
      </c>
      <c r="B23" s="10" t="inlineStr">
        <is>
          <t>Obligations corporate</t>
        </is>
      </c>
      <c r="C23" s="10" t="inlineStr">
        <is>
          <t>Corporate IG</t>
        </is>
      </c>
      <c r="D23" s="10" t="inlineStr">
        <is>
          <t>A</t>
        </is>
      </c>
      <c r="E23" s="13" t="n">
        <v>0.03125</v>
      </c>
      <c r="F23" s="11" t="n">
        <v>3</v>
      </c>
      <c r="G23" s="16" t="n">
        <v>45.92</v>
      </c>
      <c r="H23" s="16" t="n">
        <v>48.23</v>
      </c>
      <c r="I23" s="16" t="n">
        <v>46.2</v>
      </c>
      <c r="J23" s="17" t="n">
        <v>2.91</v>
      </c>
      <c r="K23" s="13" t="n">
        <v>0.007</v>
      </c>
      <c r="L23" s="18">
        <f>I23-H23</f>
        <v/>
      </c>
    </row>
    <row r="24">
      <c r="A24" s="10" t="inlineStr">
        <is>
          <t>FR100022</t>
        </is>
      </c>
      <c r="B24" s="10" t="inlineStr">
        <is>
          <t>Obligations corporate</t>
        </is>
      </c>
      <c r="C24" s="10" t="inlineStr">
        <is>
          <t>Corporate IG</t>
        </is>
      </c>
      <c r="D24" s="10" t="inlineStr">
        <is>
          <t>BBB</t>
        </is>
      </c>
      <c r="E24" s="13" t="n">
        <v>0.0375</v>
      </c>
      <c r="F24" s="11" t="n">
        <v>3</v>
      </c>
      <c r="G24" s="16" t="n">
        <v>10.97</v>
      </c>
      <c r="H24" s="16" t="n">
        <v>11.35</v>
      </c>
      <c r="I24" s="16" t="n">
        <v>11.04</v>
      </c>
      <c r="J24" s="17" t="n">
        <v>2.89</v>
      </c>
      <c r="K24" s="13" t="n">
        <v>0.013</v>
      </c>
      <c r="L24" s="18">
        <f>I24-H24</f>
        <v/>
      </c>
    </row>
    <row r="25">
      <c r="A25" s="10" t="inlineStr">
        <is>
          <t>FR100023</t>
        </is>
      </c>
      <c r="B25" s="10" t="inlineStr">
        <is>
          <t>Obligations corporate</t>
        </is>
      </c>
      <c r="C25" s="10" t="inlineStr">
        <is>
          <t>Corporate IG</t>
        </is>
      </c>
      <c r="D25" s="10" t="inlineStr">
        <is>
          <t>A</t>
        </is>
      </c>
      <c r="E25" s="13" t="n">
        <v>0.03</v>
      </c>
      <c r="F25" s="11" t="n">
        <v>5</v>
      </c>
      <c r="G25" s="16" t="n">
        <v>19.43</v>
      </c>
      <c r="H25" s="16" t="n">
        <v>19.84</v>
      </c>
      <c r="I25" s="16" t="n">
        <v>19.29</v>
      </c>
      <c r="J25" s="17" t="n">
        <v>4.71</v>
      </c>
      <c r="K25" s="13" t="n">
        <v>0.007</v>
      </c>
      <c r="L25" s="18">
        <f>I25-H25</f>
        <v/>
      </c>
    </row>
    <row r="26">
      <c r="A26" s="10" t="inlineStr">
        <is>
          <t>FR100024</t>
        </is>
      </c>
      <c r="B26" s="10" t="inlineStr">
        <is>
          <t>Obligations corporate</t>
        </is>
      </c>
      <c r="C26" s="10" t="inlineStr">
        <is>
          <t>Corporate IG</t>
        </is>
      </c>
      <c r="D26" s="10" t="inlineStr">
        <is>
          <t>BBB</t>
        </is>
      </c>
      <c r="E26" s="13" t="n">
        <v>0.03</v>
      </c>
      <c r="F26" s="11" t="n">
        <v>5</v>
      </c>
      <c r="G26" s="16" t="n">
        <v>52.08</v>
      </c>
      <c r="H26" s="16" t="n">
        <v>51.32</v>
      </c>
      <c r="I26" s="16" t="n">
        <v>50.27</v>
      </c>
      <c r="J26" s="17" t="n">
        <v>4.71</v>
      </c>
      <c r="K26" s="13" t="n">
        <v>0.013</v>
      </c>
      <c r="L26" s="18">
        <f>I26-H26</f>
        <v/>
      </c>
    </row>
    <row r="27">
      <c r="A27" s="10" t="inlineStr">
        <is>
          <t>FR100025</t>
        </is>
      </c>
      <c r="B27" s="10" t="inlineStr">
        <is>
          <t>Obligations corporate</t>
        </is>
      </c>
      <c r="C27" s="10" t="inlineStr">
        <is>
          <t>Corporate IG</t>
        </is>
      </c>
      <c r="D27" s="10" t="inlineStr">
        <is>
          <t>A</t>
        </is>
      </c>
      <c r="E27" s="13" t="n">
        <v>0.03</v>
      </c>
      <c r="F27" s="11" t="n">
        <v>5</v>
      </c>
      <c r="G27" s="16" t="n">
        <v>36.32</v>
      </c>
      <c r="H27" s="16" t="n">
        <v>36.57</v>
      </c>
      <c r="I27" s="16" t="n">
        <v>36.06</v>
      </c>
      <c r="J27" s="17" t="n">
        <v>4.71</v>
      </c>
      <c r="K27" s="13" t="n">
        <v>0.007</v>
      </c>
      <c r="L27" s="18">
        <f>I27-H27</f>
        <v/>
      </c>
    </row>
    <row r="28">
      <c r="A28" s="10" t="inlineStr">
        <is>
          <t>FR100026</t>
        </is>
      </c>
      <c r="B28" s="10" t="inlineStr">
        <is>
          <t>Obligations corporate</t>
        </is>
      </c>
      <c r="C28" s="10" t="inlineStr">
        <is>
          <t>Corporate IG</t>
        </is>
      </c>
      <c r="D28" s="10" t="inlineStr">
        <is>
          <t>A</t>
        </is>
      </c>
      <c r="E28" s="13" t="n">
        <v>0.03375</v>
      </c>
      <c r="F28" s="11" t="n">
        <v>6</v>
      </c>
      <c r="G28" s="16" t="n">
        <v>35.45</v>
      </c>
      <c r="H28" s="16" t="n">
        <v>35.61</v>
      </c>
      <c r="I28" s="16" t="n">
        <v>35.69</v>
      </c>
      <c r="J28" s="17" t="n">
        <v>5.53</v>
      </c>
      <c r="K28" s="13" t="n">
        <v>0.007</v>
      </c>
      <c r="L28" s="18">
        <f>I28-H28</f>
        <v/>
      </c>
    </row>
    <row r="29">
      <c r="A29" s="10" t="inlineStr">
        <is>
          <t>FR100027</t>
        </is>
      </c>
      <c r="B29" s="10" t="inlineStr">
        <is>
          <t>Obligations corporate</t>
        </is>
      </c>
      <c r="C29" s="10" t="inlineStr">
        <is>
          <t>Corporate IG</t>
        </is>
      </c>
      <c r="D29" s="10" t="inlineStr">
        <is>
          <t>BBB</t>
        </is>
      </c>
      <c r="E29" s="13" t="n">
        <v>0.03375</v>
      </c>
      <c r="F29" s="11" t="n">
        <v>6</v>
      </c>
      <c r="G29" s="16" t="n">
        <v>32.83</v>
      </c>
      <c r="H29" s="16" t="n">
        <v>33.04</v>
      </c>
      <c r="I29" s="16" t="n">
        <v>31.98</v>
      </c>
      <c r="J29" s="17" t="n">
        <v>5.52</v>
      </c>
      <c r="K29" s="13" t="n">
        <v>0.013</v>
      </c>
      <c r="L29" s="18">
        <f>I29-H29</f>
        <v/>
      </c>
    </row>
    <row r="30">
      <c r="A30" s="10" t="inlineStr">
        <is>
          <t>FR100028</t>
        </is>
      </c>
      <c r="B30" s="10" t="inlineStr">
        <is>
          <t>Obligations corporate</t>
        </is>
      </c>
      <c r="C30" s="10" t="inlineStr">
        <is>
          <t>Corporate IG</t>
        </is>
      </c>
      <c r="D30" s="10" t="inlineStr">
        <is>
          <t>BBB</t>
        </is>
      </c>
      <c r="E30" s="13" t="n">
        <v>0.0425</v>
      </c>
      <c r="F30" s="11" t="n">
        <v>8</v>
      </c>
      <c r="G30" s="16" t="n">
        <v>20.05</v>
      </c>
      <c r="H30" s="16" t="n">
        <v>20.57</v>
      </c>
      <c r="I30" s="16" t="n">
        <v>20.36</v>
      </c>
      <c r="J30" s="17" t="n">
        <v>6.95</v>
      </c>
      <c r="K30" s="13" t="n">
        <v>0.013</v>
      </c>
      <c r="L30" s="18">
        <f>I30-H30</f>
        <v/>
      </c>
    </row>
    <row r="31">
      <c r="A31" s="10" t="inlineStr">
        <is>
          <t>FR100029</t>
        </is>
      </c>
      <c r="B31" s="10" t="inlineStr">
        <is>
          <t>Obligations corporate</t>
        </is>
      </c>
      <c r="C31" s="10" t="inlineStr">
        <is>
          <t>Corporate IG</t>
        </is>
      </c>
      <c r="D31" s="10" t="inlineStr">
        <is>
          <t>A</t>
        </is>
      </c>
      <c r="E31" s="13" t="n">
        <v>0.025</v>
      </c>
      <c r="F31" s="11" t="n">
        <v>9</v>
      </c>
      <c r="G31" s="16" t="n">
        <v>11.3</v>
      </c>
      <c r="H31" s="16" t="n">
        <v>11.16</v>
      </c>
      <c r="I31" s="16" t="n">
        <v>10.46</v>
      </c>
      <c r="J31" s="17" t="n">
        <v>8.119999999999999</v>
      </c>
      <c r="K31" s="13" t="n">
        <v>0.007</v>
      </c>
      <c r="L31" s="18">
        <f>I31-H31</f>
        <v/>
      </c>
    </row>
    <row r="32">
      <c r="A32" s="10" t="inlineStr">
        <is>
          <t>FR100030</t>
        </is>
      </c>
      <c r="B32" s="10" t="inlineStr">
        <is>
          <t>Obligations corporate</t>
        </is>
      </c>
      <c r="C32" s="10" t="inlineStr">
        <is>
          <t>Corporate IG</t>
        </is>
      </c>
      <c r="D32" s="10" t="inlineStr">
        <is>
          <t>A</t>
        </is>
      </c>
      <c r="E32" s="13" t="n">
        <v>0.025</v>
      </c>
      <c r="F32" s="11" t="n">
        <v>9</v>
      </c>
      <c r="G32" s="16" t="n">
        <v>19.59</v>
      </c>
      <c r="H32" s="16" t="n">
        <v>19.09</v>
      </c>
      <c r="I32" s="16" t="n">
        <v>18.14</v>
      </c>
      <c r="J32" s="17" t="n">
        <v>8.119999999999999</v>
      </c>
      <c r="K32" s="13" t="n">
        <v>0.007</v>
      </c>
      <c r="L32" s="18">
        <f>I32-H32</f>
        <v/>
      </c>
    </row>
    <row r="33">
      <c r="A33" s="10" t="inlineStr">
        <is>
          <t>FR100031</t>
        </is>
      </c>
      <c r="B33" s="10" t="inlineStr">
        <is>
          <t>Obligations corporate</t>
        </is>
      </c>
      <c r="C33" s="10" t="inlineStr">
        <is>
          <t>Corporate IG</t>
        </is>
      </c>
      <c r="D33" s="10" t="inlineStr">
        <is>
          <t>A</t>
        </is>
      </c>
      <c r="E33" s="13" t="n">
        <v>0.03625</v>
      </c>
      <c r="F33" s="11" t="n">
        <v>9</v>
      </c>
      <c r="G33" s="16" t="n">
        <v>9.07</v>
      </c>
      <c r="H33" s="16" t="n">
        <v>8.85</v>
      </c>
      <c r="I33" s="16" t="n">
        <v>9.18</v>
      </c>
      <c r="J33" s="17" t="n">
        <v>7.83</v>
      </c>
      <c r="K33" s="13" t="n">
        <v>0.007</v>
      </c>
      <c r="L33" s="18">
        <f>I33-H33</f>
        <v/>
      </c>
    </row>
    <row r="34">
      <c r="A34" s="10" t="inlineStr">
        <is>
          <t>FR100032</t>
        </is>
      </c>
      <c r="B34" s="10" t="inlineStr">
        <is>
          <t>Obligations corporate</t>
        </is>
      </c>
      <c r="C34" s="10" t="inlineStr">
        <is>
          <t>Corporate IG</t>
        </is>
      </c>
      <c r="D34" s="10" t="inlineStr">
        <is>
          <t>A</t>
        </is>
      </c>
      <c r="E34" s="13" t="n">
        <v>0.03375</v>
      </c>
      <c r="F34" s="11" t="n">
        <v>9</v>
      </c>
      <c r="G34" s="16" t="n">
        <v>16.06</v>
      </c>
      <c r="H34" s="16" t="n">
        <v>15.84</v>
      </c>
      <c r="I34" s="16" t="n">
        <v>15.95</v>
      </c>
      <c r="J34" s="17" t="n">
        <v>7.89</v>
      </c>
      <c r="K34" s="13" t="n">
        <v>0.007</v>
      </c>
      <c r="L34" s="18">
        <f>I34-H34</f>
        <v/>
      </c>
    </row>
    <row r="35">
      <c r="A35" s="10" t="inlineStr">
        <is>
          <t>FR100033</t>
        </is>
      </c>
      <c r="B35" s="10" t="inlineStr">
        <is>
          <t>Obligations corporate</t>
        </is>
      </c>
      <c r="C35" s="10" t="inlineStr">
        <is>
          <t>Corporate IG</t>
        </is>
      </c>
      <c r="D35" s="10" t="inlineStr">
        <is>
          <t>A</t>
        </is>
      </c>
      <c r="E35" s="13" t="n">
        <v>0.02375</v>
      </c>
      <c r="F35" s="11" t="n">
        <v>10</v>
      </c>
      <c r="G35" s="16" t="n">
        <v>21.02</v>
      </c>
      <c r="H35" s="16" t="n">
        <v>20.59</v>
      </c>
      <c r="I35" s="16" t="n">
        <v>18.99</v>
      </c>
      <c r="J35" s="17" t="n">
        <v>8.94</v>
      </c>
      <c r="K35" s="13" t="n">
        <v>0.007</v>
      </c>
      <c r="L35" s="18">
        <f>I35-H35</f>
        <v/>
      </c>
    </row>
    <row r="36">
      <c r="A36" s="10" t="inlineStr">
        <is>
          <t>FR100034</t>
        </is>
      </c>
      <c r="B36" s="10" t="inlineStr">
        <is>
          <t>Obligations corporate</t>
        </is>
      </c>
      <c r="C36" s="10" t="inlineStr">
        <is>
          <t>Corporate IG</t>
        </is>
      </c>
      <c r="D36" s="10" t="inlineStr">
        <is>
          <t>AA</t>
        </is>
      </c>
      <c r="E36" s="13" t="n">
        <v>0.0275</v>
      </c>
      <c r="F36" s="11" t="n">
        <v>10</v>
      </c>
      <c r="G36" s="16" t="n">
        <v>9.77</v>
      </c>
      <c r="H36" s="16" t="n">
        <v>9.609999999999999</v>
      </c>
      <c r="I36" s="16" t="n">
        <v>9.720000000000001</v>
      </c>
      <c r="J36" s="17" t="n">
        <v>8.859999999999999</v>
      </c>
      <c r="K36" s="13" t="n">
        <v>0</v>
      </c>
      <c r="L36" s="18">
        <f>I36-H36</f>
        <v/>
      </c>
    </row>
    <row r="37">
      <c r="A37" s="10" t="inlineStr">
        <is>
          <t>FR100035</t>
        </is>
      </c>
      <c r="B37" s="10" t="inlineStr">
        <is>
          <t>Obligations corporate</t>
        </is>
      </c>
      <c r="C37" s="10" t="inlineStr">
        <is>
          <t>Corporate IG</t>
        </is>
      </c>
      <c r="D37" s="10" t="inlineStr">
        <is>
          <t>BBB</t>
        </is>
      </c>
      <c r="E37" s="13" t="n">
        <v>0.04875</v>
      </c>
      <c r="F37" s="11" t="n">
        <v>11</v>
      </c>
      <c r="G37" s="16" t="n">
        <v>16.61</v>
      </c>
      <c r="H37" s="16" t="n">
        <v>16.74</v>
      </c>
      <c r="I37" s="16" t="n">
        <v>17.62</v>
      </c>
      <c r="J37" s="17" t="n">
        <v>8.81</v>
      </c>
      <c r="K37" s="13" t="n">
        <v>0.013</v>
      </c>
      <c r="L37" s="18">
        <f>I37-H37</f>
        <v/>
      </c>
    </row>
    <row r="38">
      <c r="A38" s="10" t="inlineStr">
        <is>
          <t>FR100036</t>
        </is>
      </c>
      <c r="B38" s="10" t="inlineStr">
        <is>
          <t>Obligations corporate</t>
        </is>
      </c>
      <c r="C38" s="10" t="inlineStr">
        <is>
          <t>Corporate IG</t>
        </is>
      </c>
      <c r="D38" s="10" t="inlineStr">
        <is>
          <t>AA</t>
        </is>
      </c>
      <c r="E38" s="13" t="n">
        <v>0.025</v>
      </c>
      <c r="F38" s="11" t="n">
        <v>11</v>
      </c>
      <c r="G38" s="16" t="n">
        <v>9.029999999999999</v>
      </c>
      <c r="H38" s="16" t="n">
        <v>9.01</v>
      </c>
      <c r="I38" s="16" t="n">
        <v>8.720000000000001</v>
      </c>
      <c r="J38" s="17" t="n">
        <v>9.710000000000001</v>
      </c>
      <c r="K38" s="13" t="n">
        <v>0</v>
      </c>
      <c r="L38" s="18">
        <f>I38-H38</f>
        <v/>
      </c>
    </row>
    <row r="39">
      <c r="A39" s="10" t="inlineStr">
        <is>
          <t>FR100037</t>
        </is>
      </c>
      <c r="B39" s="10" t="inlineStr">
        <is>
          <t>Obligations corporate</t>
        </is>
      </c>
      <c r="C39" s="10" t="inlineStr">
        <is>
          <t>Corporate IG</t>
        </is>
      </c>
      <c r="D39" s="10" t="inlineStr">
        <is>
          <t>A</t>
        </is>
      </c>
      <c r="E39" s="13" t="n">
        <v>0.03625</v>
      </c>
      <c r="F39" s="11" t="n">
        <v>12</v>
      </c>
      <c r="G39" s="16" t="n">
        <v>15.25</v>
      </c>
      <c r="H39" s="16" t="n">
        <v>15.1</v>
      </c>
      <c r="I39" s="16" t="n">
        <v>15.27</v>
      </c>
      <c r="J39" s="17" t="n">
        <v>9.91</v>
      </c>
      <c r="K39" s="13" t="n">
        <v>0.007</v>
      </c>
      <c r="L39" s="18">
        <f>I39-H39</f>
        <v/>
      </c>
    </row>
    <row r="40">
      <c r="A40" s="10" t="inlineStr">
        <is>
          <t>FR100038</t>
        </is>
      </c>
      <c r="B40" s="10" t="inlineStr">
        <is>
          <t>Obligations corporate</t>
        </is>
      </c>
      <c r="C40" s="10" t="inlineStr">
        <is>
          <t>Corporate IG</t>
        </is>
      </c>
      <c r="D40" s="10" t="inlineStr">
        <is>
          <t>AA</t>
        </is>
      </c>
      <c r="E40" s="13" t="n">
        <v>0.0275</v>
      </c>
      <c r="F40" s="11" t="n">
        <v>17</v>
      </c>
      <c r="G40" s="16" t="n">
        <v>10.33</v>
      </c>
      <c r="H40" s="16" t="n">
        <v>10.63</v>
      </c>
      <c r="I40" s="16" t="n">
        <v>9.890000000000001</v>
      </c>
      <c r="J40" s="17" t="n">
        <v>13.65</v>
      </c>
      <c r="K40" s="13" t="n">
        <v>0</v>
      </c>
      <c r="L40" s="18">
        <f>I40-H40</f>
        <v/>
      </c>
    </row>
    <row r="41">
      <c r="A41" s="10" t="inlineStr">
        <is>
          <t>FR100039</t>
        </is>
      </c>
      <c r="B41" s="10" t="inlineStr">
        <is>
          <t>Obligations corporate</t>
        </is>
      </c>
      <c r="C41" s="10" t="inlineStr">
        <is>
          <t>Corporate IG</t>
        </is>
      </c>
      <c r="D41" s="10" t="inlineStr">
        <is>
          <t>AA</t>
        </is>
      </c>
      <c r="E41" s="13" t="n">
        <v>0.03375</v>
      </c>
      <c r="F41" s="11" t="n">
        <v>19</v>
      </c>
      <c r="G41" s="16" t="n">
        <v>6.19</v>
      </c>
      <c r="H41" s="16" t="n">
        <v>6.07</v>
      </c>
      <c r="I41" s="16" t="n">
        <v>6.43</v>
      </c>
      <c r="J41" s="17" t="n">
        <v>14.32</v>
      </c>
      <c r="K41" s="13" t="n">
        <v>0</v>
      </c>
      <c r="L41" s="18">
        <f>I41-H41</f>
        <v/>
      </c>
    </row>
    <row r="42">
      <c r="A42" s="10" t="inlineStr">
        <is>
          <t>EQ01</t>
        </is>
      </c>
      <c r="B42" s="10" t="inlineStr">
        <is>
          <t>Actions</t>
        </is>
      </c>
      <c r="C42" s="10" t="inlineStr">
        <is>
          <t>Actions zone euro</t>
        </is>
      </c>
      <c r="D42" s="10" t="inlineStr"/>
      <c r="E42" s="13" t="inlineStr"/>
      <c r="F42" s="11" t="inlineStr"/>
      <c r="G42" s="16" t="inlineStr"/>
      <c r="H42" s="16" t="n">
        <v>38</v>
      </c>
      <c r="I42" s="16" t="n">
        <v>46</v>
      </c>
      <c r="J42" s="17" t="inlineStr"/>
      <c r="K42" s="13" t="inlineStr"/>
      <c r="L42" s="18">
        <f>I42-H42</f>
        <v/>
      </c>
    </row>
    <row r="43">
      <c r="A43" s="10" t="inlineStr">
        <is>
          <t>EQ02</t>
        </is>
      </c>
      <c r="B43" s="10" t="inlineStr">
        <is>
          <t>Actions</t>
        </is>
      </c>
      <c r="C43" s="10" t="inlineStr">
        <is>
          <t>Actions Europe hors zone euro</t>
        </is>
      </c>
      <c r="D43" s="10" t="inlineStr"/>
      <c r="E43" s="13" t="inlineStr"/>
      <c r="F43" s="11" t="inlineStr"/>
      <c r="G43" s="16" t="inlineStr"/>
      <c r="H43" s="16" t="n">
        <v>24</v>
      </c>
      <c r="I43" s="16" t="n">
        <v>28</v>
      </c>
      <c r="J43" s="17" t="inlineStr"/>
      <c r="K43" s="13" t="inlineStr"/>
      <c r="L43" s="18">
        <f>I43-H43</f>
        <v/>
      </c>
    </row>
    <row r="44">
      <c r="A44" s="10" t="inlineStr">
        <is>
          <t>EQ03</t>
        </is>
      </c>
      <c r="B44" s="10" t="inlineStr">
        <is>
          <t>Actions</t>
        </is>
      </c>
      <c r="C44" s="10" t="inlineStr">
        <is>
          <t>Actions internationales</t>
        </is>
      </c>
      <c r="D44" s="10" t="inlineStr"/>
      <c r="E44" s="13" t="inlineStr"/>
      <c r="F44" s="11" t="inlineStr"/>
      <c r="G44" s="16" t="inlineStr"/>
      <c r="H44" s="16" t="n">
        <v>20</v>
      </c>
      <c r="I44" s="16" t="n">
        <v>26</v>
      </c>
      <c r="J44" s="17" t="inlineStr"/>
      <c r="K44" s="13" t="inlineStr"/>
      <c r="L44" s="18">
        <f>I44-H44</f>
        <v/>
      </c>
    </row>
    <row r="45">
      <c r="A45" s="10" t="inlineStr">
        <is>
          <t>RE01</t>
        </is>
      </c>
      <c r="B45" s="10" t="inlineStr">
        <is>
          <t>Immobilier</t>
        </is>
      </c>
      <c r="C45" s="10" t="inlineStr">
        <is>
          <t>Bureaux</t>
        </is>
      </c>
      <c r="D45" s="10" t="inlineStr"/>
      <c r="E45" s="13" t="inlineStr"/>
      <c r="F45" s="11" t="inlineStr"/>
      <c r="G45" s="16" t="inlineStr"/>
      <c r="H45" s="16" t="n">
        <v>28</v>
      </c>
      <c r="I45" s="16" t="n">
        <v>31</v>
      </c>
      <c r="J45" s="17" t="inlineStr"/>
      <c r="K45" s="13" t="inlineStr"/>
      <c r="L45" s="18">
        <f>I45-H45</f>
        <v/>
      </c>
    </row>
    <row r="46">
      <c r="A46" s="10" t="inlineStr">
        <is>
          <t>RE02</t>
        </is>
      </c>
      <c r="B46" s="10" t="inlineStr">
        <is>
          <t>Immobilier</t>
        </is>
      </c>
      <c r="C46" s="10" t="inlineStr">
        <is>
          <t>Commerces</t>
        </is>
      </c>
      <c r="D46" s="10" t="inlineStr"/>
      <c r="E46" s="13" t="inlineStr"/>
      <c r="F46" s="11" t="inlineStr"/>
      <c r="G46" s="16" t="inlineStr"/>
      <c r="H46" s="16" t="n">
        <v>12</v>
      </c>
      <c r="I46" s="16" t="n">
        <v>11</v>
      </c>
      <c r="J46" s="17" t="inlineStr"/>
      <c r="K46" s="13" t="inlineStr"/>
      <c r="L46" s="18">
        <f>I46-H46</f>
        <v/>
      </c>
    </row>
    <row r="47">
      <c r="A47" s="10" t="inlineStr">
        <is>
          <t>RE03</t>
        </is>
      </c>
      <c r="B47" s="10" t="inlineStr">
        <is>
          <t>Immobilier</t>
        </is>
      </c>
      <c r="C47" s="10" t="inlineStr">
        <is>
          <t>Résidentiel (SCPI/SCI)</t>
        </is>
      </c>
      <c r="D47" s="10" t="inlineStr"/>
      <c r="E47" s="13" t="inlineStr"/>
      <c r="F47" s="11" t="inlineStr"/>
      <c r="G47" s="16" t="inlineStr"/>
      <c r="H47" s="16" t="n">
        <v>21</v>
      </c>
      <c r="I47" s="16" t="n">
        <v>28</v>
      </c>
      <c r="J47" s="17" t="inlineStr"/>
      <c r="K47" s="13" t="inlineStr"/>
      <c r="L47" s="18">
        <f>I47-H47</f>
        <v/>
      </c>
    </row>
    <row r="48">
      <c r="A48" s="10" t="inlineStr">
        <is>
          <t>MM01</t>
        </is>
      </c>
      <c r="B48" s="10" t="inlineStr">
        <is>
          <t>Monétaire</t>
        </is>
      </c>
      <c r="C48" s="10" t="inlineStr">
        <is>
          <t>Trésorerie et OPCVM monétaires</t>
        </is>
      </c>
      <c r="D48" s="10" t="inlineStr"/>
      <c r="E48" s="13" t="inlineStr"/>
      <c r="F48" s="11" t="inlineStr"/>
      <c r="G48" s="16" t="inlineStr"/>
      <c r="H48" s="16" t="n">
        <v>50</v>
      </c>
      <c r="I48" s="16" t="n">
        <v>50</v>
      </c>
      <c r="J48" s="17" t="n">
        <v>0.1</v>
      </c>
      <c r="K48" s="13" t="inlineStr"/>
      <c r="L48" s="18">
        <f>I48-H48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9" t="inlineStr">
        <is>
          <t>ID</t>
        </is>
      </c>
      <c r="B1" s="9" t="inlineStr">
        <is>
          <t>Segment</t>
        </is>
      </c>
      <c r="C1" s="9" t="inlineStr">
        <is>
          <t>Année de génération</t>
        </is>
      </c>
      <c r="D1" s="9" t="inlineStr">
        <is>
          <t>TMG</t>
        </is>
      </c>
      <c r="E1" s="9" t="inlineStr">
        <is>
          <t>Âge moyen</t>
        </is>
      </c>
      <c r="F1" s="9" t="inlineStr">
        <is>
          <t>Ancienneté (ans)</t>
        </is>
      </c>
      <c r="G1" s="9" t="inlineStr">
        <is>
          <t>Nb contrats</t>
        </is>
      </c>
      <c r="H1" s="9" t="inlineStr">
        <is>
          <t>Provision mathématique (M€)</t>
        </is>
      </c>
      <c r="I1" s="9" t="inlineStr">
        <is>
          <t>Taux de rachat observé 2025</t>
        </is>
      </c>
    </row>
    <row r="2">
      <c r="A2" s="10" t="inlineStr">
        <is>
          <t>MP0000</t>
        </is>
      </c>
      <c r="B2" s="10" t="inlineStr">
        <is>
          <t>Génération 2020-2025</t>
        </is>
      </c>
      <c r="C2" s="11" t="n">
        <v>2021</v>
      </c>
      <c r="D2" s="13" t="n">
        <v>0</v>
      </c>
      <c r="E2" s="11" t="n">
        <v>63</v>
      </c>
      <c r="F2" s="11" t="n">
        <v>4</v>
      </c>
      <c r="G2" s="19" t="n">
        <v>36</v>
      </c>
      <c r="H2" s="20" t="n">
        <v>2.544</v>
      </c>
      <c r="I2" s="13" t="n">
        <v>0.0386</v>
      </c>
    </row>
    <row r="3">
      <c r="A3" s="10" t="inlineStr">
        <is>
          <t>MP0001</t>
        </is>
      </c>
      <c r="B3" s="10" t="inlineStr">
        <is>
          <t>Génération 2020-2025</t>
        </is>
      </c>
      <c r="C3" s="11" t="n">
        <v>2020</v>
      </c>
      <c r="D3" s="13" t="n">
        <v>0</v>
      </c>
      <c r="E3" s="11" t="n">
        <v>58</v>
      </c>
      <c r="F3" s="11" t="n">
        <v>5</v>
      </c>
      <c r="G3" s="19" t="n">
        <v>28</v>
      </c>
      <c r="H3" s="20" t="n">
        <v>2.488</v>
      </c>
      <c r="I3" s="13" t="n">
        <v>0.0405</v>
      </c>
    </row>
    <row r="4">
      <c r="A4" s="10" t="inlineStr">
        <is>
          <t>MP0002</t>
        </is>
      </c>
      <c r="B4" s="10" t="inlineStr">
        <is>
          <t>Génération 2020-2025</t>
        </is>
      </c>
      <c r="C4" s="11" t="n">
        <v>2025</v>
      </c>
      <c r="D4" s="13" t="n">
        <v>0</v>
      </c>
      <c r="E4" s="11" t="n">
        <v>59</v>
      </c>
      <c r="F4" s="11" t="n">
        <v>0</v>
      </c>
      <c r="G4" s="19" t="n">
        <v>57</v>
      </c>
      <c r="H4" s="20" t="n">
        <v>3.707</v>
      </c>
      <c r="I4" s="13" t="n">
        <v>0.0451</v>
      </c>
    </row>
    <row r="5">
      <c r="A5" s="10" t="inlineStr">
        <is>
          <t>MP0003</t>
        </is>
      </c>
      <c r="B5" s="10" t="inlineStr">
        <is>
          <t>Génération 2020-2025</t>
        </is>
      </c>
      <c r="C5" s="11" t="n">
        <v>2025</v>
      </c>
      <c r="D5" s="13" t="n">
        <v>0</v>
      </c>
      <c r="E5" s="11" t="n">
        <v>69</v>
      </c>
      <c r="F5" s="11" t="n">
        <v>0</v>
      </c>
      <c r="G5" s="19" t="n">
        <v>30</v>
      </c>
      <c r="H5" s="20" t="n">
        <v>1.974</v>
      </c>
      <c r="I5" s="13" t="n">
        <v>0.0501</v>
      </c>
    </row>
    <row r="6">
      <c r="A6" s="10" t="inlineStr">
        <is>
          <t>MP0004</t>
        </is>
      </c>
      <c r="B6" s="10" t="inlineStr">
        <is>
          <t>Génération 2020-2025</t>
        </is>
      </c>
      <c r="C6" s="11" t="n">
        <v>2022</v>
      </c>
      <c r="D6" s="13" t="n">
        <v>0</v>
      </c>
      <c r="E6" s="11" t="n">
        <v>80</v>
      </c>
      <c r="F6" s="11" t="n">
        <v>3</v>
      </c>
      <c r="G6" s="19" t="n">
        <v>118</v>
      </c>
      <c r="H6" s="20" t="n">
        <v>4.489</v>
      </c>
      <c r="I6" s="13" t="n">
        <v>0.033</v>
      </c>
    </row>
    <row r="7">
      <c r="A7" s="10" t="inlineStr">
        <is>
          <t>MP0005</t>
        </is>
      </c>
      <c r="B7" s="10" t="inlineStr">
        <is>
          <t>Génération 2020-2025</t>
        </is>
      </c>
      <c r="C7" s="11" t="n">
        <v>2020</v>
      </c>
      <c r="D7" s="13" t="n">
        <v>0</v>
      </c>
      <c r="E7" s="11" t="n">
        <v>74</v>
      </c>
      <c r="F7" s="11" t="n">
        <v>5</v>
      </c>
      <c r="G7" s="19" t="n">
        <v>207</v>
      </c>
      <c r="H7" s="20" t="n">
        <v>6.921</v>
      </c>
      <c r="I7" s="13" t="n">
        <v>0.0456</v>
      </c>
    </row>
    <row r="8">
      <c r="A8" s="10" t="inlineStr">
        <is>
          <t>MP0006</t>
        </is>
      </c>
      <c r="B8" s="10" t="inlineStr">
        <is>
          <t>Génération 2020-2025</t>
        </is>
      </c>
      <c r="C8" s="11" t="n">
        <v>2020</v>
      </c>
      <c r="D8" s="13" t="n">
        <v>0</v>
      </c>
      <c r="E8" s="11" t="n">
        <v>45</v>
      </c>
      <c r="F8" s="11" t="n">
        <v>5</v>
      </c>
      <c r="G8" s="19" t="n">
        <v>155</v>
      </c>
      <c r="H8" s="20" t="n">
        <v>3.486</v>
      </c>
      <c r="I8" s="13" t="n">
        <v>0.0354</v>
      </c>
    </row>
    <row r="9">
      <c r="A9" s="10" t="inlineStr">
        <is>
          <t>MP0007</t>
        </is>
      </c>
      <c r="B9" s="10" t="inlineStr">
        <is>
          <t>Génération 2020-2025</t>
        </is>
      </c>
      <c r="C9" s="11" t="n">
        <v>2022</v>
      </c>
      <c r="D9" s="13" t="n">
        <v>0</v>
      </c>
      <c r="E9" s="11" t="n">
        <v>52</v>
      </c>
      <c r="F9" s="11" t="n">
        <v>3</v>
      </c>
      <c r="G9" s="19" t="n">
        <v>77</v>
      </c>
      <c r="H9" s="20" t="n">
        <v>4.079</v>
      </c>
      <c r="I9" s="13" t="n">
        <v>0.0481</v>
      </c>
    </row>
    <row r="10">
      <c r="A10" s="10" t="inlineStr">
        <is>
          <t>MP0008</t>
        </is>
      </c>
      <c r="B10" s="10" t="inlineStr">
        <is>
          <t>Génération 2020-2025</t>
        </is>
      </c>
      <c r="C10" s="11" t="n">
        <v>2024</v>
      </c>
      <c r="D10" s="13" t="n">
        <v>0</v>
      </c>
      <c r="E10" s="11" t="n">
        <v>45</v>
      </c>
      <c r="F10" s="11" t="n">
        <v>1</v>
      </c>
      <c r="G10" s="19" t="n">
        <v>242</v>
      </c>
      <c r="H10" s="20" t="n">
        <v>3.212</v>
      </c>
      <c r="I10" s="13" t="n">
        <v>0.0453</v>
      </c>
    </row>
    <row r="11">
      <c r="A11" s="10" t="inlineStr">
        <is>
          <t>MP0009</t>
        </is>
      </c>
      <c r="B11" s="10" t="inlineStr">
        <is>
          <t>Génération 2020-2025</t>
        </is>
      </c>
      <c r="C11" s="11" t="n">
        <v>2024</v>
      </c>
      <c r="D11" s="13" t="n">
        <v>0</v>
      </c>
      <c r="E11" s="11" t="n">
        <v>54</v>
      </c>
      <c r="F11" s="11" t="n">
        <v>1</v>
      </c>
      <c r="G11" s="19" t="n">
        <v>58</v>
      </c>
      <c r="H11" s="20" t="n">
        <v>3.079</v>
      </c>
      <c r="I11" s="13" t="n">
        <v>0.0492</v>
      </c>
    </row>
    <row r="12">
      <c r="A12" s="10" t="inlineStr">
        <is>
          <t>MP0010</t>
        </is>
      </c>
      <c r="B12" s="10" t="inlineStr">
        <is>
          <t>Génération 2020-2025</t>
        </is>
      </c>
      <c r="C12" s="11" t="n">
        <v>2023</v>
      </c>
      <c r="D12" s="13" t="n">
        <v>0</v>
      </c>
      <c r="E12" s="11" t="n">
        <v>52</v>
      </c>
      <c r="F12" s="11" t="n">
        <v>2</v>
      </c>
      <c r="G12" s="19" t="n">
        <v>38</v>
      </c>
      <c r="H12" s="20" t="n">
        <v>1.728</v>
      </c>
      <c r="I12" s="13" t="n">
        <v>0.0496</v>
      </c>
    </row>
    <row r="13">
      <c r="A13" s="10" t="inlineStr">
        <is>
          <t>MP0011</t>
        </is>
      </c>
      <c r="B13" s="10" t="inlineStr">
        <is>
          <t>Génération 2020-2025</t>
        </is>
      </c>
      <c r="C13" s="11" t="n">
        <v>2025</v>
      </c>
      <c r="D13" s="13" t="n">
        <v>0</v>
      </c>
      <c r="E13" s="11" t="n">
        <v>60</v>
      </c>
      <c r="F13" s="11" t="n">
        <v>0</v>
      </c>
      <c r="G13" s="19" t="n">
        <v>72</v>
      </c>
      <c r="H13" s="20" t="n">
        <v>3.965</v>
      </c>
      <c r="I13" s="13" t="n">
        <v>0.0408</v>
      </c>
    </row>
    <row r="14">
      <c r="A14" s="10" t="inlineStr">
        <is>
          <t>MP0012</t>
        </is>
      </c>
      <c r="B14" s="10" t="inlineStr">
        <is>
          <t>Génération 2020-2025</t>
        </is>
      </c>
      <c r="C14" s="11" t="n">
        <v>2022</v>
      </c>
      <c r="D14" s="13" t="n">
        <v>0</v>
      </c>
      <c r="E14" s="11" t="n">
        <v>60</v>
      </c>
      <c r="F14" s="11" t="n">
        <v>3</v>
      </c>
      <c r="G14" s="19" t="n">
        <v>44</v>
      </c>
      <c r="H14" s="20" t="n">
        <v>2.848</v>
      </c>
      <c r="I14" s="13" t="n">
        <v>0.0426</v>
      </c>
    </row>
    <row r="15">
      <c r="A15" s="10" t="inlineStr">
        <is>
          <t>MP0013</t>
        </is>
      </c>
      <c r="B15" s="10" t="inlineStr">
        <is>
          <t>Génération 2020-2025</t>
        </is>
      </c>
      <c r="C15" s="11" t="n">
        <v>2020</v>
      </c>
      <c r="D15" s="13" t="n">
        <v>0</v>
      </c>
      <c r="E15" s="11" t="n">
        <v>64</v>
      </c>
      <c r="F15" s="11" t="n">
        <v>5</v>
      </c>
      <c r="G15" s="19" t="n">
        <v>446</v>
      </c>
      <c r="H15" s="20" t="n">
        <v>16.427</v>
      </c>
      <c r="I15" s="13" t="n">
        <v>0.0443</v>
      </c>
    </row>
    <row r="16">
      <c r="A16" s="10" t="inlineStr">
        <is>
          <t>MP0014</t>
        </is>
      </c>
      <c r="B16" s="10" t="inlineStr">
        <is>
          <t>Génération 2020-2025</t>
        </is>
      </c>
      <c r="C16" s="11" t="n">
        <v>2020</v>
      </c>
      <c r="D16" s="13" t="n">
        <v>0</v>
      </c>
      <c r="E16" s="11" t="n">
        <v>42</v>
      </c>
      <c r="F16" s="11" t="n">
        <v>5</v>
      </c>
      <c r="G16" s="19" t="n">
        <v>493</v>
      </c>
      <c r="H16" s="20" t="n">
        <v>10.838</v>
      </c>
      <c r="I16" s="13" t="n">
        <v>0.0361</v>
      </c>
    </row>
    <row r="17">
      <c r="A17" s="10" t="inlineStr">
        <is>
          <t>MP0015</t>
        </is>
      </c>
      <c r="B17" s="10" t="inlineStr">
        <is>
          <t>Génération 2020-2025</t>
        </is>
      </c>
      <c r="C17" s="11" t="n">
        <v>2020</v>
      </c>
      <c r="D17" s="13" t="n">
        <v>0</v>
      </c>
      <c r="E17" s="11" t="n">
        <v>38</v>
      </c>
      <c r="F17" s="11" t="n">
        <v>5</v>
      </c>
      <c r="G17" s="19" t="n">
        <v>140</v>
      </c>
      <c r="H17" s="20" t="n">
        <v>4.192</v>
      </c>
      <c r="I17" s="13" t="n">
        <v>0.0495</v>
      </c>
    </row>
    <row r="18">
      <c r="A18" s="10" t="inlineStr">
        <is>
          <t>MP0016</t>
        </is>
      </c>
      <c r="B18" s="10" t="inlineStr">
        <is>
          <t>Génération 2020-2025</t>
        </is>
      </c>
      <c r="C18" s="11" t="n">
        <v>2025</v>
      </c>
      <c r="D18" s="13" t="n">
        <v>0</v>
      </c>
      <c r="E18" s="11" t="n">
        <v>59</v>
      </c>
      <c r="F18" s="11" t="n">
        <v>0</v>
      </c>
      <c r="G18" s="19" t="n">
        <v>23</v>
      </c>
      <c r="H18" s="20" t="n">
        <v>1.672</v>
      </c>
      <c r="I18" s="13" t="n">
        <v>0.053</v>
      </c>
    </row>
    <row r="19">
      <c r="A19" s="10" t="inlineStr">
        <is>
          <t>MP0017</t>
        </is>
      </c>
      <c r="B19" s="10" t="inlineStr">
        <is>
          <t>Génération 2020-2025</t>
        </is>
      </c>
      <c r="C19" s="11" t="n">
        <v>2025</v>
      </c>
      <c r="D19" s="13" t="n">
        <v>0</v>
      </c>
      <c r="E19" s="11" t="n">
        <v>57</v>
      </c>
      <c r="F19" s="11" t="n">
        <v>0</v>
      </c>
      <c r="G19" s="19" t="n">
        <v>15</v>
      </c>
      <c r="H19" s="20" t="n">
        <v>1.264</v>
      </c>
      <c r="I19" s="13" t="n">
        <v>0.0456</v>
      </c>
    </row>
    <row r="20">
      <c r="A20" s="10" t="inlineStr">
        <is>
          <t>MP0018</t>
        </is>
      </c>
      <c r="B20" s="10" t="inlineStr">
        <is>
          <t>Génération 2020-2025</t>
        </is>
      </c>
      <c r="C20" s="11" t="n">
        <v>2020</v>
      </c>
      <c r="D20" s="13" t="n">
        <v>0</v>
      </c>
      <c r="E20" s="11" t="n">
        <v>54</v>
      </c>
      <c r="F20" s="11" t="n">
        <v>5</v>
      </c>
      <c r="G20" s="19" t="n">
        <v>398</v>
      </c>
      <c r="H20" s="20" t="n">
        <v>7.983</v>
      </c>
      <c r="I20" s="13" t="n">
        <v>0.0397</v>
      </c>
    </row>
    <row r="21">
      <c r="A21" s="10" t="inlineStr">
        <is>
          <t>MP0019</t>
        </is>
      </c>
      <c r="B21" s="10" t="inlineStr">
        <is>
          <t>Génération 2020-2025</t>
        </is>
      </c>
      <c r="C21" s="11" t="n">
        <v>2025</v>
      </c>
      <c r="D21" s="13" t="n">
        <v>0</v>
      </c>
      <c r="E21" s="11" t="n">
        <v>54</v>
      </c>
      <c r="F21" s="11" t="n">
        <v>0</v>
      </c>
      <c r="G21" s="19" t="n">
        <v>60</v>
      </c>
      <c r="H21" s="20" t="n">
        <v>3.799</v>
      </c>
      <c r="I21" s="13" t="n">
        <v>0.0553</v>
      </c>
    </row>
    <row r="22">
      <c r="A22" s="10" t="inlineStr">
        <is>
          <t>MP0020</t>
        </is>
      </c>
      <c r="B22" s="10" t="inlineStr">
        <is>
          <t>Génération 2020-2025</t>
        </is>
      </c>
      <c r="C22" s="11" t="n">
        <v>2024</v>
      </c>
      <c r="D22" s="13" t="n">
        <v>0</v>
      </c>
      <c r="E22" s="11" t="n">
        <v>61</v>
      </c>
      <c r="F22" s="11" t="n">
        <v>1</v>
      </c>
      <c r="G22" s="19" t="n">
        <v>181</v>
      </c>
      <c r="H22" s="20" t="n">
        <v>4.52</v>
      </c>
      <c r="I22" s="13" t="n">
        <v>0.0478</v>
      </c>
    </row>
    <row r="23">
      <c r="A23" s="10" t="inlineStr">
        <is>
          <t>MP0021</t>
        </is>
      </c>
      <c r="B23" s="10" t="inlineStr">
        <is>
          <t>Génération 2020-2025</t>
        </is>
      </c>
      <c r="C23" s="11" t="n">
        <v>2023</v>
      </c>
      <c r="D23" s="13" t="n">
        <v>0</v>
      </c>
      <c r="E23" s="11" t="n">
        <v>57</v>
      </c>
      <c r="F23" s="11" t="n">
        <v>2</v>
      </c>
      <c r="G23" s="19" t="n">
        <v>45</v>
      </c>
      <c r="H23" s="20" t="n">
        <v>0.762</v>
      </c>
      <c r="I23" s="13" t="n">
        <v>0.0506</v>
      </c>
    </row>
    <row r="24">
      <c r="A24" s="10" t="inlineStr">
        <is>
          <t>MP0022</t>
        </is>
      </c>
      <c r="B24" s="10" t="inlineStr">
        <is>
          <t>Génération 2020-2025</t>
        </is>
      </c>
      <c r="C24" s="11" t="n">
        <v>2022</v>
      </c>
      <c r="D24" s="13" t="n">
        <v>0</v>
      </c>
      <c r="E24" s="11" t="n">
        <v>54</v>
      </c>
      <c r="F24" s="11" t="n">
        <v>3</v>
      </c>
      <c r="G24" s="19" t="n">
        <v>262</v>
      </c>
      <c r="H24" s="20" t="n">
        <v>6.465</v>
      </c>
      <c r="I24" s="13" t="n">
        <v>0.0411</v>
      </c>
    </row>
    <row r="25">
      <c r="A25" s="10" t="inlineStr">
        <is>
          <t>MP0023</t>
        </is>
      </c>
      <c r="B25" s="10" t="inlineStr">
        <is>
          <t>Génération 2020-2025</t>
        </is>
      </c>
      <c r="C25" s="11" t="n">
        <v>2020</v>
      </c>
      <c r="D25" s="13" t="n">
        <v>0</v>
      </c>
      <c r="E25" s="11" t="n">
        <v>63</v>
      </c>
      <c r="F25" s="11" t="n">
        <v>5</v>
      </c>
      <c r="G25" s="19" t="n">
        <v>115</v>
      </c>
      <c r="H25" s="20" t="n">
        <v>4.428</v>
      </c>
      <c r="I25" s="13" t="n">
        <v>0.047</v>
      </c>
    </row>
    <row r="26">
      <c r="A26" s="10" t="inlineStr">
        <is>
          <t>MP0024</t>
        </is>
      </c>
      <c r="B26" s="10" t="inlineStr">
        <is>
          <t>Génération 2020-2025</t>
        </is>
      </c>
      <c r="C26" s="11" t="n">
        <v>2022</v>
      </c>
      <c r="D26" s="13" t="n">
        <v>0</v>
      </c>
      <c r="E26" s="11" t="n">
        <v>71</v>
      </c>
      <c r="F26" s="11" t="n">
        <v>3</v>
      </c>
      <c r="G26" s="19" t="n">
        <v>35</v>
      </c>
      <c r="H26" s="20" t="n">
        <v>1.266</v>
      </c>
      <c r="I26" s="13" t="n">
        <v>0.0361</v>
      </c>
    </row>
    <row r="27">
      <c r="A27" s="10" t="inlineStr">
        <is>
          <t>MP0025</t>
        </is>
      </c>
      <c r="B27" s="10" t="inlineStr">
        <is>
          <t>Génération 2020-2025</t>
        </is>
      </c>
      <c r="C27" s="11" t="n">
        <v>2020</v>
      </c>
      <c r="D27" s="13" t="n">
        <v>0</v>
      </c>
      <c r="E27" s="11" t="n">
        <v>69</v>
      </c>
      <c r="F27" s="11" t="n">
        <v>5</v>
      </c>
      <c r="G27" s="19" t="n">
        <v>59</v>
      </c>
      <c r="H27" s="20" t="n">
        <v>2.111</v>
      </c>
      <c r="I27" s="13" t="n">
        <v>0.0517</v>
      </c>
    </row>
    <row r="28">
      <c r="A28" s="10" t="inlineStr">
        <is>
          <t>MP0026</t>
        </is>
      </c>
      <c r="B28" s="10" t="inlineStr">
        <is>
          <t>Génération 2020-2025</t>
        </is>
      </c>
      <c r="C28" s="11" t="n">
        <v>2020</v>
      </c>
      <c r="D28" s="13" t="n">
        <v>0</v>
      </c>
      <c r="E28" s="11" t="n">
        <v>58</v>
      </c>
      <c r="F28" s="11" t="n">
        <v>5</v>
      </c>
      <c r="G28" s="19" t="n">
        <v>76</v>
      </c>
      <c r="H28" s="20" t="n">
        <v>3.801</v>
      </c>
      <c r="I28" s="13" t="n">
        <v>0.0567</v>
      </c>
    </row>
    <row r="29">
      <c r="A29" s="10" t="inlineStr">
        <is>
          <t>MP0027</t>
        </is>
      </c>
      <c r="B29" s="10" t="inlineStr">
        <is>
          <t>Génération 2020-2025</t>
        </is>
      </c>
      <c r="C29" s="11" t="n">
        <v>2020</v>
      </c>
      <c r="D29" s="13" t="n">
        <v>0</v>
      </c>
      <c r="E29" s="11" t="n">
        <v>78</v>
      </c>
      <c r="F29" s="11" t="n">
        <v>5</v>
      </c>
      <c r="G29" s="19" t="n">
        <v>73</v>
      </c>
      <c r="H29" s="20" t="n">
        <v>3.21</v>
      </c>
      <c r="I29" s="13" t="n">
        <v>0.046</v>
      </c>
    </row>
    <row r="30">
      <c r="A30" s="10" t="inlineStr">
        <is>
          <t>MP0028</t>
        </is>
      </c>
      <c r="B30" s="10" t="inlineStr">
        <is>
          <t>Génération 2020-2025</t>
        </is>
      </c>
      <c r="C30" s="11" t="n">
        <v>2020</v>
      </c>
      <c r="D30" s="13" t="n">
        <v>0</v>
      </c>
      <c r="E30" s="11" t="n">
        <v>52</v>
      </c>
      <c r="F30" s="11" t="n">
        <v>5</v>
      </c>
      <c r="G30" s="19" t="n">
        <v>49</v>
      </c>
      <c r="H30" s="20" t="n">
        <v>2.437</v>
      </c>
      <c r="I30" s="13" t="n">
        <v>0.0448</v>
      </c>
    </row>
    <row r="31">
      <c r="A31" s="10" t="inlineStr">
        <is>
          <t>MP0029</t>
        </is>
      </c>
      <c r="B31" s="10" t="inlineStr">
        <is>
          <t>Génération 2020-2025</t>
        </is>
      </c>
      <c r="C31" s="11" t="n">
        <v>2021</v>
      </c>
      <c r="D31" s="13" t="n">
        <v>0</v>
      </c>
      <c r="E31" s="11" t="n">
        <v>62</v>
      </c>
      <c r="F31" s="11" t="n">
        <v>4</v>
      </c>
      <c r="G31" s="19" t="n">
        <v>102</v>
      </c>
      <c r="H31" s="20" t="n">
        <v>2.834</v>
      </c>
      <c r="I31" s="13" t="n">
        <v>0.0355</v>
      </c>
    </row>
    <row r="32">
      <c r="A32" s="10" t="inlineStr">
        <is>
          <t>MP0030</t>
        </is>
      </c>
      <c r="B32" s="10" t="inlineStr">
        <is>
          <t>Génération 2020-2025</t>
        </is>
      </c>
      <c r="C32" s="11" t="n">
        <v>2025</v>
      </c>
      <c r="D32" s="13" t="n">
        <v>0</v>
      </c>
      <c r="E32" s="11" t="n">
        <v>47</v>
      </c>
      <c r="F32" s="11" t="n">
        <v>0</v>
      </c>
      <c r="G32" s="19" t="n">
        <v>75</v>
      </c>
      <c r="H32" s="20" t="n">
        <v>2.516</v>
      </c>
      <c r="I32" s="13" t="n">
        <v>0.0432</v>
      </c>
    </row>
    <row r="33">
      <c r="A33" s="10" t="inlineStr">
        <is>
          <t>MP0031</t>
        </is>
      </c>
      <c r="B33" s="10" t="inlineStr">
        <is>
          <t>Génération 2020-2025</t>
        </is>
      </c>
      <c r="C33" s="11" t="n">
        <v>2023</v>
      </c>
      <c r="D33" s="13" t="n">
        <v>0</v>
      </c>
      <c r="E33" s="11" t="n">
        <v>76</v>
      </c>
      <c r="F33" s="11" t="n">
        <v>2</v>
      </c>
      <c r="G33" s="19" t="n">
        <v>47</v>
      </c>
      <c r="H33" s="20" t="n">
        <v>3.478</v>
      </c>
      <c r="I33" s="13" t="n">
        <v>0.0392</v>
      </c>
    </row>
    <row r="34">
      <c r="A34" s="10" t="inlineStr">
        <is>
          <t>MP0032</t>
        </is>
      </c>
      <c r="B34" s="10" t="inlineStr">
        <is>
          <t>Génération 2020-2025</t>
        </is>
      </c>
      <c r="C34" s="11" t="n">
        <v>2022</v>
      </c>
      <c r="D34" s="13" t="n">
        <v>0</v>
      </c>
      <c r="E34" s="11" t="n">
        <v>55</v>
      </c>
      <c r="F34" s="11" t="n">
        <v>3</v>
      </c>
      <c r="G34" s="19" t="n">
        <v>274</v>
      </c>
      <c r="H34" s="20" t="n">
        <v>9.99</v>
      </c>
      <c r="I34" s="13" t="n">
        <v>0.0461</v>
      </c>
    </row>
    <row r="35">
      <c r="A35" s="10" t="inlineStr">
        <is>
          <t>MP0033</t>
        </is>
      </c>
      <c r="B35" s="10" t="inlineStr">
        <is>
          <t>Génération 2020-2025</t>
        </is>
      </c>
      <c r="C35" s="11" t="n">
        <v>2023</v>
      </c>
      <c r="D35" s="13" t="n">
        <v>0</v>
      </c>
      <c r="E35" s="11" t="n">
        <v>64</v>
      </c>
      <c r="F35" s="11" t="n">
        <v>2</v>
      </c>
      <c r="G35" s="19" t="n">
        <v>11</v>
      </c>
      <c r="H35" s="20" t="n">
        <v>0.395</v>
      </c>
      <c r="I35" s="13" t="n">
        <v>0.0514</v>
      </c>
    </row>
    <row r="36">
      <c r="A36" s="10" t="inlineStr">
        <is>
          <t>MP0034</t>
        </is>
      </c>
      <c r="B36" s="10" t="inlineStr">
        <is>
          <t>Génération 2020-2025</t>
        </is>
      </c>
      <c r="C36" s="11" t="n">
        <v>2021</v>
      </c>
      <c r="D36" s="13" t="n">
        <v>0</v>
      </c>
      <c r="E36" s="11" t="n">
        <v>59</v>
      </c>
      <c r="F36" s="11" t="n">
        <v>4</v>
      </c>
      <c r="G36" s="19" t="n">
        <v>16</v>
      </c>
      <c r="H36" s="20" t="n">
        <v>2.547</v>
      </c>
      <c r="I36" s="13" t="n">
        <v>0.0463</v>
      </c>
    </row>
    <row r="37">
      <c r="A37" s="10" t="inlineStr">
        <is>
          <t>MP0035</t>
        </is>
      </c>
      <c r="B37" s="10" t="inlineStr">
        <is>
          <t>Génération 2020-2025</t>
        </is>
      </c>
      <c r="C37" s="11" t="n">
        <v>2022</v>
      </c>
      <c r="D37" s="13" t="n">
        <v>0</v>
      </c>
      <c r="E37" s="11" t="n">
        <v>72</v>
      </c>
      <c r="F37" s="11" t="n">
        <v>3</v>
      </c>
      <c r="G37" s="19" t="n">
        <v>80</v>
      </c>
      <c r="H37" s="20" t="n">
        <v>3.545</v>
      </c>
      <c r="I37" s="13" t="n">
        <v>0.0485</v>
      </c>
    </row>
    <row r="38">
      <c r="A38" s="10" t="inlineStr">
        <is>
          <t>MP0036</t>
        </is>
      </c>
      <c r="B38" s="10" t="inlineStr">
        <is>
          <t>Génération 2020-2025</t>
        </is>
      </c>
      <c r="C38" s="11" t="n">
        <v>2025</v>
      </c>
      <c r="D38" s="13" t="n">
        <v>0</v>
      </c>
      <c r="E38" s="11" t="n">
        <v>56</v>
      </c>
      <c r="F38" s="11" t="n">
        <v>0</v>
      </c>
      <c r="G38" s="19" t="n">
        <v>137</v>
      </c>
      <c r="H38" s="20" t="n">
        <v>3.901</v>
      </c>
      <c r="I38" s="13" t="n">
        <v>0.0476</v>
      </c>
    </row>
    <row r="39">
      <c r="A39" s="10" t="inlineStr">
        <is>
          <t>MP0037</t>
        </is>
      </c>
      <c r="B39" s="10" t="inlineStr">
        <is>
          <t>Génération 2020-2025</t>
        </is>
      </c>
      <c r="C39" s="11" t="n">
        <v>2023</v>
      </c>
      <c r="D39" s="13" t="n">
        <v>0</v>
      </c>
      <c r="E39" s="11" t="n">
        <v>51</v>
      </c>
      <c r="F39" s="11" t="n">
        <v>2</v>
      </c>
      <c r="G39" s="19" t="n">
        <v>39</v>
      </c>
      <c r="H39" s="20" t="n">
        <v>2.286</v>
      </c>
      <c r="I39" s="13" t="n">
        <v>0.0515</v>
      </c>
    </row>
    <row r="40">
      <c r="A40" s="10" t="inlineStr">
        <is>
          <t>MP0038</t>
        </is>
      </c>
      <c r="B40" s="10" t="inlineStr">
        <is>
          <t>Génération 2020-2025</t>
        </is>
      </c>
      <c r="C40" s="11" t="n">
        <v>2024</v>
      </c>
      <c r="D40" s="13" t="n">
        <v>0</v>
      </c>
      <c r="E40" s="11" t="n">
        <v>55</v>
      </c>
      <c r="F40" s="11" t="n">
        <v>1</v>
      </c>
      <c r="G40" s="19" t="n">
        <v>14</v>
      </c>
      <c r="H40" s="20" t="n">
        <v>0.755</v>
      </c>
      <c r="I40" s="13" t="n">
        <v>0.0431</v>
      </c>
    </row>
    <row r="41">
      <c r="A41" s="10" t="inlineStr">
        <is>
          <t>MP0039</t>
        </is>
      </c>
      <c r="B41" s="10" t="inlineStr">
        <is>
          <t>Génération 2020-2025</t>
        </is>
      </c>
      <c r="C41" s="11" t="n">
        <v>2020</v>
      </c>
      <c r="D41" s="13" t="n">
        <v>0</v>
      </c>
      <c r="E41" s="11" t="n">
        <v>68</v>
      </c>
      <c r="F41" s="11" t="n">
        <v>5</v>
      </c>
      <c r="G41" s="19" t="n">
        <v>238</v>
      </c>
      <c r="H41" s="20" t="n">
        <v>4.002</v>
      </c>
      <c r="I41" s="13" t="n">
        <v>0.043</v>
      </c>
    </row>
    <row r="42">
      <c r="A42" s="10" t="inlineStr">
        <is>
          <t>MP0040</t>
        </is>
      </c>
      <c r="B42" s="10" t="inlineStr">
        <is>
          <t>Génération 2020-2025</t>
        </is>
      </c>
      <c r="C42" s="11" t="n">
        <v>2022</v>
      </c>
      <c r="D42" s="13" t="n">
        <v>0</v>
      </c>
      <c r="E42" s="11" t="n">
        <v>45</v>
      </c>
      <c r="F42" s="11" t="n">
        <v>3</v>
      </c>
      <c r="G42" s="19" t="n">
        <v>147</v>
      </c>
      <c r="H42" s="20" t="n">
        <v>12.259</v>
      </c>
      <c r="I42" s="13" t="n">
        <v>0.0504</v>
      </c>
    </row>
    <row r="43">
      <c r="A43" s="10" t="inlineStr">
        <is>
          <t>MP0041</t>
        </is>
      </c>
      <c r="B43" s="10" t="inlineStr">
        <is>
          <t>Génération 2020-2025</t>
        </is>
      </c>
      <c r="C43" s="11" t="n">
        <v>2024</v>
      </c>
      <c r="D43" s="13" t="n">
        <v>0</v>
      </c>
      <c r="E43" s="11" t="n">
        <v>51</v>
      </c>
      <c r="F43" s="11" t="n">
        <v>1</v>
      </c>
      <c r="G43" s="19" t="n">
        <v>45</v>
      </c>
      <c r="H43" s="20" t="n">
        <v>0.902</v>
      </c>
      <c r="I43" s="13" t="n">
        <v>0.0272</v>
      </c>
    </row>
    <row r="44">
      <c r="A44" s="10" t="inlineStr">
        <is>
          <t>MP0042</t>
        </is>
      </c>
      <c r="B44" s="10" t="inlineStr">
        <is>
          <t>Génération 2020-2025</t>
        </is>
      </c>
      <c r="C44" s="11" t="n">
        <v>2023</v>
      </c>
      <c r="D44" s="13" t="n">
        <v>0</v>
      </c>
      <c r="E44" s="11" t="n">
        <v>80</v>
      </c>
      <c r="F44" s="11" t="n">
        <v>2</v>
      </c>
      <c r="G44" s="19" t="n">
        <v>117</v>
      </c>
      <c r="H44" s="20" t="n">
        <v>6.144</v>
      </c>
      <c r="I44" s="13" t="n">
        <v>0.0416</v>
      </c>
    </row>
    <row r="45">
      <c r="A45" s="10" t="inlineStr">
        <is>
          <t>MP0043</t>
        </is>
      </c>
      <c r="B45" s="10" t="inlineStr">
        <is>
          <t>Génération 2020-2025</t>
        </is>
      </c>
      <c r="C45" s="11" t="n">
        <v>2025</v>
      </c>
      <c r="D45" s="13" t="n">
        <v>0</v>
      </c>
      <c r="E45" s="11" t="n">
        <v>62</v>
      </c>
      <c r="F45" s="11" t="n">
        <v>0</v>
      </c>
      <c r="G45" s="19" t="n">
        <v>122</v>
      </c>
      <c r="H45" s="20" t="n">
        <v>2.367</v>
      </c>
      <c r="I45" s="13" t="n">
        <v>0.0432</v>
      </c>
    </row>
    <row r="46">
      <c r="A46" s="10" t="inlineStr">
        <is>
          <t>MP0044</t>
        </is>
      </c>
      <c r="B46" s="10" t="inlineStr">
        <is>
          <t>Génération 2020-2025</t>
        </is>
      </c>
      <c r="C46" s="11" t="n">
        <v>2025</v>
      </c>
      <c r="D46" s="13" t="n">
        <v>0</v>
      </c>
      <c r="E46" s="11" t="n">
        <v>57</v>
      </c>
      <c r="F46" s="11" t="n">
        <v>0</v>
      </c>
      <c r="G46" s="19" t="n">
        <v>46</v>
      </c>
      <c r="H46" s="20" t="n">
        <v>2.931</v>
      </c>
      <c r="I46" s="13" t="n">
        <v>0.0471</v>
      </c>
    </row>
    <row r="47">
      <c r="A47" s="10" t="inlineStr">
        <is>
          <t>MP0045</t>
        </is>
      </c>
      <c r="B47" s="10" t="inlineStr">
        <is>
          <t>Génération 2020-2025</t>
        </is>
      </c>
      <c r="C47" s="11" t="n">
        <v>2023</v>
      </c>
      <c r="D47" s="13" t="n">
        <v>0</v>
      </c>
      <c r="E47" s="11" t="n">
        <v>64</v>
      </c>
      <c r="F47" s="11" t="n">
        <v>2</v>
      </c>
      <c r="G47" s="19" t="n">
        <v>44</v>
      </c>
      <c r="H47" s="20" t="n">
        <v>1.326</v>
      </c>
      <c r="I47" s="13" t="n">
        <v>0.0504</v>
      </c>
    </row>
    <row r="48">
      <c r="A48" s="10" t="inlineStr">
        <is>
          <t>MP0046</t>
        </is>
      </c>
      <c r="B48" s="10" t="inlineStr">
        <is>
          <t>Génération 2020-2025</t>
        </is>
      </c>
      <c r="C48" s="11" t="n">
        <v>2025</v>
      </c>
      <c r="D48" s="13" t="n">
        <v>0</v>
      </c>
      <c r="E48" s="11" t="n">
        <v>49</v>
      </c>
      <c r="F48" s="11" t="n">
        <v>0</v>
      </c>
      <c r="G48" s="19" t="n">
        <v>87</v>
      </c>
      <c r="H48" s="20" t="n">
        <v>2.356</v>
      </c>
      <c r="I48" s="13" t="n">
        <v>0.053</v>
      </c>
    </row>
    <row r="49">
      <c r="A49" s="10" t="inlineStr">
        <is>
          <t>MP0047</t>
        </is>
      </c>
      <c r="B49" s="10" t="inlineStr">
        <is>
          <t>Génération 2020-2025</t>
        </is>
      </c>
      <c r="C49" s="11" t="n">
        <v>2025</v>
      </c>
      <c r="D49" s="13" t="n">
        <v>0</v>
      </c>
      <c r="E49" s="11" t="n">
        <v>56</v>
      </c>
      <c r="F49" s="11" t="n">
        <v>0</v>
      </c>
      <c r="G49" s="19" t="n">
        <v>102</v>
      </c>
      <c r="H49" s="20" t="n">
        <v>8.710000000000001</v>
      </c>
      <c r="I49" s="13" t="n">
        <v>0.0423</v>
      </c>
    </row>
    <row r="50">
      <c r="A50" s="10" t="inlineStr">
        <is>
          <t>MP0048</t>
        </is>
      </c>
      <c r="B50" s="10" t="inlineStr">
        <is>
          <t>Génération 2020-2025</t>
        </is>
      </c>
      <c r="C50" s="11" t="n">
        <v>2021</v>
      </c>
      <c r="D50" s="13" t="n">
        <v>0</v>
      </c>
      <c r="E50" s="11" t="n">
        <v>60</v>
      </c>
      <c r="F50" s="11" t="n">
        <v>4</v>
      </c>
      <c r="G50" s="19" t="n">
        <v>102</v>
      </c>
      <c r="H50" s="20" t="n">
        <v>4.906</v>
      </c>
      <c r="I50" s="13" t="n">
        <v>0.0544</v>
      </c>
    </row>
    <row r="51">
      <c r="A51" s="10" t="inlineStr">
        <is>
          <t>MP0049</t>
        </is>
      </c>
      <c r="B51" s="10" t="inlineStr">
        <is>
          <t>Génération 2020-2025</t>
        </is>
      </c>
      <c r="C51" s="11" t="n">
        <v>2020</v>
      </c>
      <c r="D51" s="13" t="n">
        <v>0</v>
      </c>
      <c r="E51" s="11" t="n">
        <v>56</v>
      </c>
      <c r="F51" s="11" t="n">
        <v>5</v>
      </c>
      <c r="G51" s="19" t="n">
        <v>469</v>
      </c>
      <c r="H51" s="20" t="n">
        <v>12.308</v>
      </c>
      <c r="I51" s="13" t="n">
        <v>0.0423</v>
      </c>
    </row>
    <row r="52">
      <c r="A52" s="10" t="inlineStr">
        <is>
          <t>MP0050</t>
        </is>
      </c>
      <c r="B52" s="10" t="inlineStr">
        <is>
          <t>Génération 2020-2025</t>
        </is>
      </c>
      <c r="C52" s="11" t="n">
        <v>2025</v>
      </c>
      <c r="D52" s="13" t="n">
        <v>0</v>
      </c>
      <c r="E52" s="11" t="n">
        <v>43</v>
      </c>
      <c r="F52" s="11" t="n">
        <v>0</v>
      </c>
      <c r="G52" s="19" t="n">
        <v>136</v>
      </c>
      <c r="H52" s="20" t="n">
        <v>7.896</v>
      </c>
      <c r="I52" s="13" t="n">
        <v>0.0418</v>
      </c>
    </row>
    <row r="53">
      <c r="A53" s="10" t="inlineStr">
        <is>
          <t>MP0051</t>
        </is>
      </c>
      <c r="B53" s="10" t="inlineStr">
        <is>
          <t>Génération 2020-2025</t>
        </is>
      </c>
      <c r="C53" s="11" t="n">
        <v>2020</v>
      </c>
      <c r="D53" s="13" t="n">
        <v>0</v>
      </c>
      <c r="E53" s="11" t="n">
        <v>70</v>
      </c>
      <c r="F53" s="11" t="n">
        <v>5</v>
      </c>
      <c r="G53" s="19" t="n">
        <v>344</v>
      </c>
      <c r="H53" s="20" t="n">
        <v>4.374</v>
      </c>
      <c r="I53" s="13" t="n">
        <v>0.0403</v>
      </c>
    </row>
    <row r="54">
      <c r="A54" s="10" t="inlineStr">
        <is>
          <t>MP0052</t>
        </is>
      </c>
      <c r="B54" s="10" t="inlineStr">
        <is>
          <t>Génération 2020-2025</t>
        </is>
      </c>
      <c r="C54" s="11" t="n">
        <v>2021</v>
      </c>
      <c r="D54" s="13" t="n">
        <v>0</v>
      </c>
      <c r="E54" s="11" t="n">
        <v>52</v>
      </c>
      <c r="F54" s="11" t="n">
        <v>4</v>
      </c>
      <c r="G54" s="19" t="n">
        <v>261</v>
      </c>
      <c r="H54" s="20" t="n">
        <v>12.423</v>
      </c>
      <c r="I54" s="13" t="n">
        <v>0.0439</v>
      </c>
    </row>
    <row r="55">
      <c r="A55" s="10" t="inlineStr">
        <is>
          <t>MP0053</t>
        </is>
      </c>
      <c r="B55" s="10" t="inlineStr">
        <is>
          <t>Génération 2020-2025</t>
        </is>
      </c>
      <c r="C55" s="11" t="n">
        <v>2021</v>
      </c>
      <c r="D55" s="13" t="n">
        <v>0</v>
      </c>
      <c r="E55" s="11" t="n">
        <v>57</v>
      </c>
      <c r="F55" s="11" t="n">
        <v>4</v>
      </c>
      <c r="G55" s="19" t="n">
        <v>112</v>
      </c>
      <c r="H55" s="20" t="n">
        <v>4.374</v>
      </c>
      <c r="I55" s="13" t="n">
        <v>0.0462</v>
      </c>
    </row>
    <row r="56">
      <c r="A56" s="10" t="inlineStr">
        <is>
          <t>MP0054</t>
        </is>
      </c>
      <c r="B56" s="10" t="inlineStr">
        <is>
          <t>Génération 2020-2025</t>
        </is>
      </c>
      <c r="C56" s="11" t="n">
        <v>2024</v>
      </c>
      <c r="D56" s="13" t="n">
        <v>0</v>
      </c>
      <c r="E56" s="11" t="n">
        <v>64</v>
      </c>
      <c r="F56" s="11" t="n">
        <v>1</v>
      </c>
      <c r="G56" s="19" t="n">
        <v>102</v>
      </c>
      <c r="H56" s="20" t="n">
        <v>5.97</v>
      </c>
      <c r="I56" s="13" t="n">
        <v>0.0473</v>
      </c>
    </row>
    <row r="57">
      <c r="A57" s="10" t="inlineStr">
        <is>
          <t>MP0055</t>
        </is>
      </c>
      <c r="B57" s="10" t="inlineStr">
        <is>
          <t>Génération 2020-2025</t>
        </is>
      </c>
      <c r="C57" s="11" t="n">
        <v>2022</v>
      </c>
      <c r="D57" s="13" t="n">
        <v>0</v>
      </c>
      <c r="E57" s="11" t="n">
        <v>64</v>
      </c>
      <c r="F57" s="11" t="n">
        <v>3</v>
      </c>
      <c r="G57" s="19" t="n">
        <v>49</v>
      </c>
      <c r="H57" s="20" t="n">
        <v>2.428</v>
      </c>
      <c r="I57" s="13" t="n">
        <v>0.0572</v>
      </c>
    </row>
    <row r="58">
      <c r="A58" s="10" t="inlineStr">
        <is>
          <t>MP0056</t>
        </is>
      </c>
      <c r="B58" s="10" t="inlineStr">
        <is>
          <t>Génération 2020-2025</t>
        </is>
      </c>
      <c r="C58" s="11" t="n">
        <v>2022</v>
      </c>
      <c r="D58" s="13" t="n">
        <v>0</v>
      </c>
      <c r="E58" s="11" t="n">
        <v>56</v>
      </c>
      <c r="F58" s="11" t="n">
        <v>3</v>
      </c>
      <c r="G58" s="19" t="n">
        <v>112</v>
      </c>
      <c r="H58" s="20" t="n">
        <v>3.247</v>
      </c>
      <c r="I58" s="13" t="n">
        <v>0.0388</v>
      </c>
    </row>
    <row r="59">
      <c r="A59" s="10" t="inlineStr">
        <is>
          <t>MP0057</t>
        </is>
      </c>
      <c r="B59" s="10" t="inlineStr">
        <is>
          <t>Génération 2020-2025</t>
        </is>
      </c>
      <c r="C59" s="11" t="n">
        <v>2023</v>
      </c>
      <c r="D59" s="13" t="n">
        <v>0</v>
      </c>
      <c r="E59" s="11" t="n">
        <v>47</v>
      </c>
      <c r="F59" s="11" t="n">
        <v>2</v>
      </c>
      <c r="G59" s="19" t="n">
        <v>65</v>
      </c>
      <c r="H59" s="20" t="n">
        <v>1.762</v>
      </c>
      <c r="I59" s="13" t="n">
        <v>0.0446</v>
      </c>
    </row>
    <row r="60">
      <c r="A60" s="10" t="inlineStr">
        <is>
          <t>MP0058</t>
        </is>
      </c>
      <c r="B60" s="10" t="inlineStr">
        <is>
          <t>Génération 2020-2025</t>
        </is>
      </c>
      <c r="C60" s="11" t="n">
        <v>2025</v>
      </c>
      <c r="D60" s="13" t="n">
        <v>0</v>
      </c>
      <c r="E60" s="11" t="n">
        <v>58</v>
      </c>
      <c r="F60" s="11" t="n">
        <v>0</v>
      </c>
      <c r="G60" s="19" t="n">
        <v>237</v>
      </c>
      <c r="H60" s="20" t="n">
        <v>6.794</v>
      </c>
      <c r="I60" s="13" t="n">
        <v>0.0504</v>
      </c>
    </row>
    <row r="61">
      <c r="A61" s="10" t="inlineStr">
        <is>
          <t>MP0059</t>
        </is>
      </c>
      <c r="B61" s="10" t="inlineStr">
        <is>
          <t>Génération 2020-2025</t>
        </is>
      </c>
      <c r="C61" s="11" t="n">
        <v>2025</v>
      </c>
      <c r="D61" s="13" t="n">
        <v>0</v>
      </c>
      <c r="E61" s="11" t="n">
        <v>64</v>
      </c>
      <c r="F61" s="11" t="n">
        <v>0</v>
      </c>
      <c r="G61" s="19" t="n">
        <v>30</v>
      </c>
      <c r="H61" s="20" t="n">
        <v>1.199</v>
      </c>
      <c r="I61" s="13" t="n">
        <v>0.0411</v>
      </c>
    </row>
    <row r="62">
      <c r="A62" s="10" t="inlineStr">
        <is>
          <t>MP0060</t>
        </is>
      </c>
      <c r="B62" s="10" t="inlineStr">
        <is>
          <t>Génération 2020-2025</t>
        </is>
      </c>
      <c r="C62" s="11" t="n">
        <v>2024</v>
      </c>
      <c r="D62" s="13" t="n">
        <v>0</v>
      </c>
      <c r="E62" s="11" t="n">
        <v>60</v>
      </c>
      <c r="F62" s="11" t="n">
        <v>1</v>
      </c>
      <c r="G62" s="19" t="n">
        <v>282</v>
      </c>
      <c r="H62" s="20" t="n">
        <v>5.756</v>
      </c>
      <c r="I62" s="13" t="n">
        <v>0.0446</v>
      </c>
    </row>
    <row r="63">
      <c r="A63" s="10" t="inlineStr">
        <is>
          <t>MP0061</t>
        </is>
      </c>
      <c r="B63" s="10" t="inlineStr">
        <is>
          <t>Génération 2020-2025</t>
        </is>
      </c>
      <c r="C63" s="11" t="n">
        <v>2022</v>
      </c>
      <c r="D63" s="13" t="n">
        <v>0</v>
      </c>
      <c r="E63" s="11" t="n">
        <v>61</v>
      </c>
      <c r="F63" s="11" t="n">
        <v>3</v>
      </c>
      <c r="G63" s="19" t="n">
        <v>98</v>
      </c>
      <c r="H63" s="20" t="n">
        <v>2.643</v>
      </c>
      <c r="I63" s="13" t="n">
        <v>0.0461</v>
      </c>
    </row>
    <row r="64">
      <c r="A64" s="10" t="inlineStr">
        <is>
          <t>MP0062</t>
        </is>
      </c>
      <c r="B64" s="10" t="inlineStr">
        <is>
          <t>Génération 2020-2025</t>
        </is>
      </c>
      <c r="C64" s="11" t="n">
        <v>2024</v>
      </c>
      <c r="D64" s="13" t="n">
        <v>0</v>
      </c>
      <c r="E64" s="11" t="n">
        <v>70</v>
      </c>
      <c r="F64" s="11" t="n">
        <v>1</v>
      </c>
      <c r="G64" s="19" t="n">
        <v>100</v>
      </c>
      <c r="H64" s="20" t="n">
        <v>7.857</v>
      </c>
      <c r="I64" s="13" t="n">
        <v>0.0435</v>
      </c>
    </row>
    <row r="65">
      <c r="A65" s="10" t="inlineStr">
        <is>
          <t>MP0063</t>
        </is>
      </c>
      <c r="B65" s="10" t="inlineStr">
        <is>
          <t>Génération 2020-2025</t>
        </is>
      </c>
      <c r="C65" s="11" t="n">
        <v>2025</v>
      </c>
      <c r="D65" s="13" t="n">
        <v>0</v>
      </c>
      <c r="E65" s="11" t="n">
        <v>61</v>
      </c>
      <c r="F65" s="11" t="n">
        <v>0</v>
      </c>
      <c r="G65" s="19" t="n">
        <v>445</v>
      </c>
      <c r="H65" s="20" t="n">
        <v>5.613</v>
      </c>
      <c r="I65" s="13" t="n">
        <v>0.0381</v>
      </c>
    </row>
    <row r="66">
      <c r="A66" s="10" t="inlineStr">
        <is>
          <t>MP0064</t>
        </is>
      </c>
      <c r="B66" s="10" t="inlineStr">
        <is>
          <t>Génération 2020-2025</t>
        </is>
      </c>
      <c r="C66" s="11" t="n">
        <v>2023</v>
      </c>
      <c r="D66" s="13" t="n">
        <v>0</v>
      </c>
      <c r="E66" s="11" t="n">
        <v>49</v>
      </c>
      <c r="F66" s="11" t="n">
        <v>2</v>
      </c>
      <c r="G66" s="19" t="n">
        <v>220</v>
      </c>
      <c r="H66" s="20" t="n">
        <v>13.209</v>
      </c>
      <c r="I66" s="13" t="n">
        <v>0.057</v>
      </c>
    </row>
    <row r="67">
      <c r="A67" s="10" t="inlineStr">
        <is>
          <t>MP0065</t>
        </is>
      </c>
      <c r="B67" s="10" t="inlineStr">
        <is>
          <t>Génération 2020-2025</t>
        </is>
      </c>
      <c r="C67" s="11" t="n">
        <v>2024</v>
      </c>
      <c r="D67" s="13" t="n">
        <v>0</v>
      </c>
      <c r="E67" s="11" t="n">
        <v>47</v>
      </c>
      <c r="F67" s="11" t="n">
        <v>1</v>
      </c>
      <c r="G67" s="19" t="n">
        <v>199</v>
      </c>
      <c r="H67" s="20" t="n">
        <v>5.524</v>
      </c>
      <c r="I67" s="13" t="n">
        <v>0.0464</v>
      </c>
    </row>
    <row r="68">
      <c r="A68" s="10" t="inlineStr">
        <is>
          <t>MP0066</t>
        </is>
      </c>
      <c r="B68" s="10" t="inlineStr">
        <is>
          <t>Génération 2020-2025</t>
        </is>
      </c>
      <c r="C68" s="11" t="n">
        <v>2022</v>
      </c>
      <c r="D68" s="13" t="n">
        <v>0</v>
      </c>
      <c r="E68" s="11" t="n">
        <v>48</v>
      </c>
      <c r="F68" s="11" t="n">
        <v>3</v>
      </c>
      <c r="G68" s="19" t="n">
        <v>18</v>
      </c>
      <c r="H68" s="20" t="n">
        <v>0.875</v>
      </c>
      <c r="I68" s="13" t="n">
        <v>0.0559</v>
      </c>
    </row>
    <row r="69">
      <c r="A69" s="10" t="inlineStr">
        <is>
          <t>MP0067</t>
        </is>
      </c>
      <c r="B69" s="10" t="inlineStr">
        <is>
          <t>Génération 2020-2025</t>
        </is>
      </c>
      <c r="C69" s="11" t="n">
        <v>2025</v>
      </c>
      <c r="D69" s="13" t="n">
        <v>0</v>
      </c>
      <c r="E69" s="11" t="n">
        <v>43</v>
      </c>
      <c r="F69" s="11" t="n">
        <v>0</v>
      </c>
      <c r="G69" s="19" t="n">
        <v>131</v>
      </c>
      <c r="H69" s="20" t="n">
        <v>2.918</v>
      </c>
      <c r="I69" s="13" t="n">
        <v>0.0425</v>
      </c>
    </row>
    <row r="70">
      <c r="A70" s="10" t="inlineStr">
        <is>
          <t>MP0068</t>
        </is>
      </c>
      <c r="B70" s="10" t="inlineStr">
        <is>
          <t>Génération 2020-2025</t>
        </is>
      </c>
      <c r="C70" s="11" t="n">
        <v>2025</v>
      </c>
      <c r="D70" s="13" t="n">
        <v>0</v>
      </c>
      <c r="E70" s="11" t="n">
        <v>65</v>
      </c>
      <c r="F70" s="11" t="n">
        <v>0</v>
      </c>
      <c r="G70" s="19" t="n">
        <v>25</v>
      </c>
      <c r="H70" s="20" t="n">
        <v>1.205</v>
      </c>
      <c r="I70" s="13" t="n">
        <v>0.0344</v>
      </c>
    </row>
    <row r="71">
      <c r="A71" s="10" t="inlineStr">
        <is>
          <t>MP0069</t>
        </is>
      </c>
      <c r="B71" s="10" t="inlineStr">
        <is>
          <t>Génération 2020-2025</t>
        </is>
      </c>
      <c r="C71" s="11" t="n">
        <v>2022</v>
      </c>
      <c r="D71" s="13" t="n">
        <v>0</v>
      </c>
      <c r="E71" s="11" t="n">
        <v>63</v>
      </c>
      <c r="F71" s="11" t="n">
        <v>3</v>
      </c>
      <c r="G71" s="19" t="n">
        <v>64</v>
      </c>
      <c r="H71" s="20" t="n">
        <v>2.034</v>
      </c>
      <c r="I71" s="13" t="n">
        <v>0.0526</v>
      </c>
    </row>
    <row r="72">
      <c r="A72" s="10" t="inlineStr">
        <is>
          <t>MP0070</t>
        </is>
      </c>
      <c r="B72" s="10" t="inlineStr">
        <is>
          <t>Génération 2020-2025</t>
        </is>
      </c>
      <c r="C72" s="11" t="n">
        <v>2021</v>
      </c>
      <c r="D72" s="13" t="n">
        <v>0</v>
      </c>
      <c r="E72" s="11" t="n">
        <v>53</v>
      </c>
      <c r="F72" s="11" t="n">
        <v>4</v>
      </c>
      <c r="G72" s="19" t="n">
        <v>187</v>
      </c>
      <c r="H72" s="20" t="n">
        <v>10.313</v>
      </c>
      <c r="I72" s="13" t="n">
        <v>0.0496</v>
      </c>
    </row>
    <row r="73">
      <c r="A73" s="10" t="inlineStr">
        <is>
          <t>MP0071</t>
        </is>
      </c>
      <c r="B73" s="10" t="inlineStr">
        <is>
          <t>Génération 2020-2025</t>
        </is>
      </c>
      <c r="C73" s="11" t="n">
        <v>2023</v>
      </c>
      <c r="D73" s="13" t="n">
        <v>0</v>
      </c>
      <c r="E73" s="11" t="n">
        <v>62</v>
      </c>
      <c r="F73" s="11" t="n">
        <v>2</v>
      </c>
      <c r="G73" s="19" t="n">
        <v>283</v>
      </c>
      <c r="H73" s="20" t="n">
        <v>5.127</v>
      </c>
      <c r="I73" s="13" t="n">
        <v>0.0482</v>
      </c>
    </row>
    <row r="74">
      <c r="A74" s="10" t="inlineStr">
        <is>
          <t>MP0072</t>
        </is>
      </c>
      <c r="B74" s="10" t="inlineStr">
        <is>
          <t>Génération 2020-2025</t>
        </is>
      </c>
      <c r="C74" s="11" t="n">
        <v>2022</v>
      </c>
      <c r="D74" s="13" t="n">
        <v>0</v>
      </c>
      <c r="E74" s="11" t="n">
        <v>61</v>
      </c>
      <c r="F74" s="11" t="n">
        <v>3</v>
      </c>
      <c r="G74" s="19" t="n">
        <v>85</v>
      </c>
      <c r="H74" s="20" t="n">
        <v>1.76</v>
      </c>
      <c r="I74" s="13" t="n">
        <v>0.0477</v>
      </c>
    </row>
    <row r="75">
      <c r="A75" s="10" t="inlineStr">
        <is>
          <t>MP0073</t>
        </is>
      </c>
      <c r="B75" s="10" t="inlineStr">
        <is>
          <t>Génération 2020-2025</t>
        </is>
      </c>
      <c r="C75" s="11" t="n">
        <v>2020</v>
      </c>
      <c r="D75" s="13" t="n">
        <v>0</v>
      </c>
      <c r="E75" s="11" t="n">
        <v>52</v>
      </c>
      <c r="F75" s="11" t="n">
        <v>5</v>
      </c>
      <c r="G75" s="19" t="n">
        <v>61</v>
      </c>
      <c r="H75" s="20" t="n">
        <v>1.368</v>
      </c>
      <c r="I75" s="13" t="n">
        <v>0.0493</v>
      </c>
    </row>
    <row r="76">
      <c r="A76" s="10" t="inlineStr">
        <is>
          <t>MP0074</t>
        </is>
      </c>
      <c r="B76" s="10" t="inlineStr">
        <is>
          <t>Génération 2020-2025</t>
        </is>
      </c>
      <c r="C76" s="11" t="n">
        <v>2022</v>
      </c>
      <c r="D76" s="13" t="n">
        <v>0</v>
      </c>
      <c r="E76" s="11" t="n">
        <v>53</v>
      </c>
      <c r="F76" s="11" t="n">
        <v>3</v>
      </c>
      <c r="G76" s="19" t="n">
        <v>36</v>
      </c>
      <c r="H76" s="20" t="n">
        <v>3.16</v>
      </c>
      <c r="I76" s="13" t="n">
        <v>0.0424</v>
      </c>
    </row>
    <row r="77">
      <c r="A77" s="10" t="inlineStr">
        <is>
          <t>MP0075</t>
        </is>
      </c>
      <c r="B77" s="10" t="inlineStr">
        <is>
          <t>Génération 2020-2025</t>
        </is>
      </c>
      <c r="C77" s="11" t="n">
        <v>2020</v>
      </c>
      <c r="D77" s="13" t="n">
        <v>0</v>
      </c>
      <c r="E77" s="11" t="n">
        <v>60</v>
      </c>
      <c r="F77" s="11" t="n">
        <v>5</v>
      </c>
      <c r="G77" s="19" t="n">
        <v>24</v>
      </c>
      <c r="H77" s="20" t="n">
        <v>1.163</v>
      </c>
      <c r="I77" s="13" t="n">
        <v>0.0413</v>
      </c>
    </row>
    <row r="78">
      <c r="A78" s="10" t="inlineStr">
        <is>
          <t>MP0076</t>
        </is>
      </c>
      <c r="B78" s="10" t="inlineStr">
        <is>
          <t>Génération 2020-2025</t>
        </is>
      </c>
      <c r="C78" s="11" t="n">
        <v>2023</v>
      </c>
      <c r="D78" s="13" t="n">
        <v>0</v>
      </c>
      <c r="E78" s="11" t="n">
        <v>53</v>
      </c>
      <c r="F78" s="11" t="n">
        <v>2</v>
      </c>
      <c r="G78" s="19" t="n">
        <v>52</v>
      </c>
      <c r="H78" s="20" t="n">
        <v>1.799</v>
      </c>
      <c r="I78" s="13" t="n">
        <v>0.0532</v>
      </c>
    </row>
    <row r="79">
      <c r="A79" s="10" t="inlineStr">
        <is>
          <t>MP0077</t>
        </is>
      </c>
      <c r="B79" s="10" t="inlineStr">
        <is>
          <t>Génération 2020-2025</t>
        </is>
      </c>
      <c r="C79" s="11" t="n">
        <v>2020</v>
      </c>
      <c r="D79" s="13" t="n">
        <v>0</v>
      </c>
      <c r="E79" s="11" t="n">
        <v>50</v>
      </c>
      <c r="F79" s="11" t="n">
        <v>5</v>
      </c>
      <c r="G79" s="19" t="n">
        <v>314</v>
      </c>
      <c r="H79" s="20" t="n">
        <v>3.951</v>
      </c>
      <c r="I79" s="13" t="n">
        <v>0.0547</v>
      </c>
    </row>
    <row r="80">
      <c r="A80" s="10" t="inlineStr">
        <is>
          <t>MP0078</t>
        </is>
      </c>
      <c r="B80" s="10" t="inlineStr">
        <is>
          <t>Génération 2020-2025</t>
        </is>
      </c>
      <c r="C80" s="11" t="n">
        <v>2024</v>
      </c>
      <c r="D80" s="13" t="n">
        <v>0</v>
      </c>
      <c r="E80" s="11" t="n">
        <v>54</v>
      </c>
      <c r="F80" s="11" t="n">
        <v>1</v>
      </c>
      <c r="G80" s="19" t="n">
        <v>486</v>
      </c>
      <c r="H80" s="20" t="n">
        <v>7.758</v>
      </c>
      <c r="I80" s="13" t="n">
        <v>0.0431</v>
      </c>
    </row>
    <row r="81">
      <c r="A81" s="10" t="inlineStr">
        <is>
          <t>MP0079</t>
        </is>
      </c>
      <c r="B81" s="10" t="inlineStr">
        <is>
          <t>Génération 2020-2025</t>
        </is>
      </c>
      <c r="C81" s="11" t="n">
        <v>2025</v>
      </c>
      <c r="D81" s="13" t="n">
        <v>0</v>
      </c>
      <c r="E81" s="11" t="n">
        <v>55</v>
      </c>
      <c r="F81" s="11" t="n">
        <v>0</v>
      </c>
      <c r="G81" s="19" t="n">
        <v>131</v>
      </c>
      <c r="H81" s="20" t="n">
        <v>5.01</v>
      </c>
      <c r="I81" s="13" t="n">
        <v>0.0383</v>
      </c>
    </row>
    <row r="82">
      <c r="A82" s="10" t="inlineStr">
        <is>
          <t>MP0080</t>
        </is>
      </c>
      <c r="B82" s="10" t="inlineStr">
        <is>
          <t>Génération 2020-2025</t>
        </is>
      </c>
      <c r="C82" s="11" t="n">
        <v>2024</v>
      </c>
      <c r="D82" s="13" t="n">
        <v>0</v>
      </c>
      <c r="E82" s="11" t="n">
        <v>63</v>
      </c>
      <c r="F82" s="11" t="n">
        <v>1</v>
      </c>
      <c r="G82" s="19" t="n">
        <v>24</v>
      </c>
      <c r="H82" s="20" t="n">
        <v>0.492</v>
      </c>
      <c r="I82" s="13" t="n">
        <v>0.0492</v>
      </c>
    </row>
    <row r="83">
      <c r="A83" s="10" t="inlineStr">
        <is>
          <t>MP0081</t>
        </is>
      </c>
      <c r="B83" s="10" t="inlineStr">
        <is>
          <t>Génération 2020-2025</t>
        </is>
      </c>
      <c r="C83" s="11" t="n">
        <v>2020</v>
      </c>
      <c r="D83" s="13" t="n">
        <v>0</v>
      </c>
      <c r="E83" s="11" t="n">
        <v>78</v>
      </c>
      <c r="F83" s="11" t="n">
        <v>5</v>
      </c>
      <c r="G83" s="19" t="n">
        <v>85</v>
      </c>
      <c r="H83" s="20" t="n">
        <v>3.927</v>
      </c>
      <c r="I83" s="13" t="n">
        <v>0.043</v>
      </c>
    </row>
    <row r="84">
      <c r="A84" s="10" t="inlineStr">
        <is>
          <t>MP0082</t>
        </is>
      </c>
      <c r="B84" s="10" t="inlineStr">
        <is>
          <t>Génération 2020-2025</t>
        </is>
      </c>
      <c r="C84" s="11" t="n">
        <v>2023</v>
      </c>
      <c r="D84" s="13" t="n">
        <v>0</v>
      </c>
      <c r="E84" s="11" t="n">
        <v>64</v>
      </c>
      <c r="F84" s="11" t="n">
        <v>2</v>
      </c>
      <c r="G84" s="19" t="n">
        <v>184</v>
      </c>
      <c r="H84" s="20" t="n">
        <v>3.261</v>
      </c>
      <c r="I84" s="13" t="n">
        <v>0.046</v>
      </c>
    </row>
    <row r="85">
      <c r="A85" s="10" t="inlineStr">
        <is>
          <t>MP0083</t>
        </is>
      </c>
      <c r="B85" s="10" t="inlineStr">
        <is>
          <t>Génération 2020-2025</t>
        </is>
      </c>
      <c r="C85" s="11" t="n">
        <v>2020</v>
      </c>
      <c r="D85" s="13" t="n">
        <v>0</v>
      </c>
      <c r="E85" s="11" t="n">
        <v>56</v>
      </c>
      <c r="F85" s="11" t="n">
        <v>5</v>
      </c>
      <c r="G85" s="19" t="n">
        <v>40</v>
      </c>
      <c r="H85" s="20" t="n">
        <v>4.287</v>
      </c>
      <c r="I85" s="13" t="n">
        <v>0.044</v>
      </c>
    </row>
    <row r="86">
      <c r="A86" s="10" t="inlineStr">
        <is>
          <t>MP0084</t>
        </is>
      </c>
      <c r="B86" s="10" t="inlineStr">
        <is>
          <t>Génération 2020-2025</t>
        </is>
      </c>
      <c r="C86" s="11" t="n">
        <v>2020</v>
      </c>
      <c r="D86" s="13" t="n">
        <v>0</v>
      </c>
      <c r="E86" s="11" t="n">
        <v>50</v>
      </c>
      <c r="F86" s="11" t="n">
        <v>5</v>
      </c>
      <c r="G86" s="19" t="n">
        <v>199</v>
      </c>
      <c r="H86" s="20" t="n">
        <v>11.216</v>
      </c>
      <c r="I86" s="13" t="n">
        <v>0.0469</v>
      </c>
    </row>
    <row r="87">
      <c r="A87" s="10" t="inlineStr">
        <is>
          <t>MP0085</t>
        </is>
      </c>
      <c r="B87" s="10" t="inlineStr">
        <is>
          <t>Génération 2020-2025</t>
        </is>
      </c>
      <c r="C87" s="11" t="n">
        <v>2022</v>
      </c>
      <c r="D87" s="13" t="n">
        <v>0</v>
      </c>
      <c r="E87" s="11" t="n">
        <v>51</v>
      </c>
      <c r="F87" s="11" t="n">
        <v>3</v>
      </c>
      <c r="G87" s="19" t="n">
        <v>12</v>
      </c>
      <c r="H87" s="20" t="n">
        <v>0.591</v>
      </c>
      <c r="I87" s="13" t="n">
        <v>0.0523</v>
      </c>
    </row>
    <row r="88">
      <c r="A88" s="10" t="inlineStr">
        <is>
          <t>MP0086</t>
        </is>
      </c>
      <c r="B88" s="10" t="inlineStr">
        <is>
          <t>Génération 2020-2025</t>
        </is>
      </c>
      <c r="C88" s="11" t="n">
        <v>2022</v>
      </c>
      <c r="D88" s="13" t="n">
        <v>0</v>
      </c>
      <c r="E88" s="11" t="n">
        <v>43</v>
      </c>
      <c r="F88" s="11" t="n">
        <v>3</v>
      </c>
      <c r="G88" s="19" t="n">
        <v>46</v>
      </c>
      <c r="H88" s="20" t="n">
        <v>1.918</v>
      </c>
      <c r="I88" s="13" t="n">
        <v>0.0396</v>
      </c>
    </row>
    <row r="89">
      <c r="A89" s="10" t="inlineStr">
        <is>
          <t>MP0087</t>
        </is>
      </c>
      <c r="B89" s="10" t="inlineStr">
        <is>
          <t>Génération 2020-2025</t>
        </is>
      </c>
      <c r="C89" s="11" t="n">
        <v>2022</v>
      </c>
      <c r="D89" s="13" t="n">
        <v>0</v>
      </c>
      <c r="E89" s="11" t="n">
        <v>56</v>
      </c>
      <c r="F89" s="11" t="n">
        <v>3</v>
      </c>
      <c r="G89" s="19" t="n">
        <v>122</v>
      </c>
      <c r="H89" s="20" t="n">
        <v>4.939</v>
      </c>
      <c r="I89" s="13" t="n">
        <v>0.0348</v>
      </c>
    </row>
    <row r="90">
      <c r="A90" s="10" t="inlineStr">
        <is>
          <t>MP0088</t>
        </is>
      </c>
      <c r="B90" s="10" t="inlineStr">
        <is>
          <t>Génération 2020-2025</t>
        </is>
      </c>
      <c r="C90" s="11" t="n">
        <v>2023</v>
      </c>
      <c r="D90" s="13" t="n">
        <v>0</v>
      </c>
      <c r="E90" s="11" t="n">
        <v>63</v>
      </c>
      <c r="F90" s="11" t="n">
        <v>2</v>
      </c>
      <c r="G90" s="19" t="n">
        <v>26</v>
      </c>
      <c r="H90" s="20" t="n">
        <v>0.869</v>
      </c>
      <c r="I90" s="13" t="n">
        <v>0.0296</v>
      </c>
    </row>
    <row r="91">
      <c r="A91" s="10" t="inlineStr">
        <is>
          <t>MP0089</t>
        </is>
      </c>
      <c r="B91" s="10" t="inlineStr">
        <is>
          <t>Génération 2020-2025</t>
        </is>
      </c>
      <c r="C91" s="11" t="n">
        <v>2021</v>
      </c>
      <c r="D91" s="13" t="n">
        <v>0</v>
      </c>
      <c r="E91" s="11" t="n">
        <v>66</v>
      </c>
      <c r="F91" s="11" t="n">
        <v>4</v>
      </c>
      <c r="G91" s="19" t="n">
        <v>208</v>
      </c>
      <c r="H91" s="20" t="n">
        <v>10.026</v>
      </c>
      <c r="I91" s="13" t="n">
        <v>0.0407</v>
      </c>
    </row>
    <row r="92">
      <c r="A92" s="10" t="inlineStr">
        <is>
          <t>MP0090</t>
        </is>
      </c>
      <c r="B92" s="10" t="inlineStr">
        <is>
          <t>Génération 2020-2025</t>
        </is>
      </c>
      <c r="C92" s="11" t="n">
        <v>2025</v>
      </c>
      <c r="D92" s="13" t="n">
        <v>0</v>
      </c>
      <c r="E92" s="11" t="n">
        <v>65</v>
      </c>
      <c r="F92" s="11" t="n">
        <v>0</v>
      </c>
      <c r="G92" s="19" t="n">
        <v>82</v>
      </c>
      <c r="H92" s="20" t="n">
        <v>4.133</v>
      </c>
      <c r="I92" s="13" t="n">
        <v>0.0593</v>
      </c>
    </row>
    <row r="93">
      <c r="A93" s="10" t="inlineStr">
        <is>
          <t>MP0091</t>
        </is>
      </c>
      <c r="B93" s="10" t="inlineStr">
        <is>
          <t>Génération 2020-2025</t>
        </is>
      </c>
      <c r="C93" s="11" t="n">
        <v>2021</v>
      </c>
      <c r="D93" s="13" t="n">
        <v>0</v>
      </c>
      <c r="E93" s="11" t="n">
        <v>63</v>
      </c>
      <c r="F93" s="11" t="n">
        <v>4</v>
      </c>
      <c r="G93" s="19" t="n">
        <v>118</v>
      </c>
      <c r="H93" s="20" t="n">
        <v>6.06</v>
      </c>
      <c r="I93" s="13" t="n">
        <v>0.044</v>
      </c>
    </row>
    <row r="94">
      <c r="A94" s="10" t="inlineStr">
        <is>
          <t>MP0092</t>
        </is>
      </c>
      <c r="B94" s="10" t="inlineStr">
        <is>
          <t>Génération 2020-2025</t>
        </is>
      </c>
      <c r="C94" s="11" t="n">
        <v>2023</v>
      </c>
      <c r="D94" s="13" t="n">
        <v>0</v>
      </c>
      <c r="E94" s="11" t="n">
        <v>64</v>
      </c>
      <c r="F94" s="11" t="n">
        <v>2</v>
      </c>
      <c r="G94" s="19" t="n">
        <v>24</v>
      </c>
      <c r="H94" s="20" t="n">
        <v>1.95</v>
      </c>
      <c r="I94" s="13" t="n">
        <v>0.0419</v>
      </c>
    </row>
    <row r="95">
      <c r="A95" s="10" t="inlineStr">
        <is>
          <t>MP0093</t>
        </is>
      </c>
      <c r="B95" s="10" t="inlineStr">
        <is>
          <t>Génération 2020-2025</t>
        </is>
      </c>
      <c r="C95" s="11" t="n">
        <v>2022</v>
      </c>
      <c r="D95" s="13" t="n">
        <v>0</v>
      </c>
      <c r="E95" s="11" t="n">
        <v>55</v>
      </c>
      <c r="F95" s="11" t="n">
        <v>3</v>
      </c>
      <c r="G95" s="19" t="n">
        <v>178</v>
      </c>
      <c r="H95" s="20" t="n">
        <v>5.903</v>
      </c>
      <c r="I95" s="13" t="n">
        <v>0.0497</v>
      </c>
    </row>
    <row r="96">
      <c r="A96" s="10" t="inlineStr">
        <is>
          <t>MP0094</t>
        </is>
      </c>
      <c r="B96" s="10" t="inlineStr">
        <is>
          <t>Génération 2020-2025</t>
        </is>
      </c>
      <c r="C96" s="11" t="n">
        <v>2021</v>
      </c>
      <c r="D96" s="13" t="n">
        <v>0</v>
      </c>
      <c r="E96" s="11" t="n">
        <v>55</v>
      </c>
      <c r="F96" s="11" t="n">
        <v>4</v>
      </c>
      <c r="G96" s="19" t="n">
        <v>213</v>
      </c>
      <c r="H96" s="20" t="n">
        <v>7.237</v>
      </c>
      <c r="I96" s="13" t="n">
        <v>0.0469</v>
      </c>
    </row>
    <row r="97">
      <c r="A97" s="10" t="inlineStr">
        <is>
          <t>MP0095</t>
        </is>
      </c>
      <c r="B97" s="10" t="inlineStr">
        <is>
          <t>Génération 2020-2025</t>
        </is>
      </c>
      <c r="C97" s="11" t="n">
        <v>2020</v>
      </c>
      <c r="D97" s="13" t="n">
        <v>0</v>
      </c>
      <c r="E97" s="11" t="n">
        <v>57</v>
      </c>
      <c r="F97" s="11" t="n">
        <v>5</v>
      </c>
      <c r="G97" s="19" t="n">
        <v>54</v>
      </c>
      <c r="H97" s="20" t="n">
        <v>3.709</v>
      </c>
      <c r="I97" s="13" t="n">
        <v>0.0315</v>
      </c>
    </row>
    <row r="98">
      <c r="A98" s="10" t="inlineStr">
        <is>
          <t>MP0096</t>
        </is>
      </c>
      <c r="B98" s="10" t="inlineStr">
        <is>
          <t>Génération 2020-2025</t>
        </is>
      </c>
      <c r="C98" s="11" t="n">
        <v>2024</v>
      </c>
      <c r="D98" s="13" t="n">
        <v>0</v>
      </c>
      <c r="E98" s="11" t="n">
        <v>51</v>
      </c>
      <c r="F98" s="11" t="n">
        <v>1</v>
      </c>
      <c r="G98" s="19" t="n">
        <v>282</v>
      </c>
      <c r="H98" s="20" t="n">
        <v>3.713</v>
      </c>
      <c r="I98" s="13" t="n">
        <v>0.0392</v>
      </c>
    </row>
    <row r="99">
      <c r="A99" s="10" t="inlineStr">
        <is>
          <t>MP0097</t>
        </is>
      </c>
      <c r="B99" s="10" t="inlineStr">
        <is>
          <t>Génération 2020-2025</t>
        </is>
      </c>
      <c r="C99" s="11" t="n">
        <v>2020</v>
      </c>
      <c r="D99" s="13" t="n">
        <v>0</v>
      </c>
      <c r="E99" s="11" t="n">
        <v>51</v>
      </c>
      <c r="F99" s="11" t="n">
        <v>5</v>
      </c>
      <c r="G99" s="19" t="n">
        <v>100</v>
      </c>
      <c r="H99" s="20" t="n">
        <v>3.822</v>
      </c>
      <c r="I99" s="13" t="n">
        <v>0.0517</v>
      </c>
    </row>
    <row r="100">
      <c r="A100" s="10" t="inlineStr">
        <is>
          <t>MP0098</t>
        </is>
      </c>
      <c r="B100" s="10" t="inlineStr">
        <is>
          <t>Génération 2020-2025</t>
        </is>
      </c>
      <c r="C100" s="11" t="n">
        <v>2020</v>
      </c>
      <c r="D100" s="13" t="n">
        <v>0</v>
      </c>
      <c r="E100" s="11" t="n">
        <v>50</v>
      </c>
      <c r="F100" s="11" t="n">
        <v>5</v>
      </c>
      <c r="G100" s="19" t="n">
        <v>37</v>
      </c>
      <c r="H100" s="20" t="n">
        <v>1.543</v>
      </c>
      <c r="I100" s="13" t="n">
        <v>0.0513</v>
      </c>
    </row>
    <row r="101">
      <c r="A101" s="10" t="inlineStr">
        <is>
          <t>MP0099</t>
        </is>
      </c>
      <c r="B101" s="10" t="inlineStr">
        <is>
          <t>Génération 2020-2025</t>
        </is>
      </c>
      <c r="C101" s="11" t="n">
        <v>2020</v>
      </c>
      <c r="D101" s="13" t="n">
        <v>0</v>
      </c>
      <c r="E101" s="11" t="n">
        <v>51</v>
      </c>
      <c r="F101" s="11" t="n">
        <v>5</v>
      </c>
      <c r="G101" s="19" t="n">
        <v>102</v>
      </c>
      <c r="H101" s="20" t="n">
        <v>2.736</v>
      </c>
      <c r="I101" s="13" t="n">
        <v>0.0484</v>
      </c>
    </row>
    <row r="102">
      <c r="A102" s="10" t="inlineStr">
        <is>
          <t>MP0100</t>
        </is>
      </c>
      <c r="B102" s="10" t="inlineStr">
        <is>
          <t>Génération 2013-2019</t>
        </is>
      </c>
      <c r="C102" s="11" t="n">
        <v>2014</v>
      </c>
      <c r="D102" s="13" t="n">
        <v>0.005</v>
      </c>
      <c r="E102" s="11" t="n">
        <v>64</v>
      </c>
      <c r="F102" s="11" t="n">
        <v>11</v>
      </c>
      <c r="G102" s="19" t="n">
        <v>37</v>
      </c>
      <c r="H102" s="20" t="n">
        <v>1.425</v>
      </c>
      <c r="I102" s="13" t="n">
        <v>0.0365</v>
      </c>
    </row>
    <row r="103">
      <c r="A103" s="10" t="inlineStr">
        <is>
          <t>MP0101</t>
        </is>
      </c>
      <c r="B103" s="10" t="inlineStr">
        <is>
          <t>Génération 2013-2019</t>
        </is>
      </c>
      <c r="C103" s="11" t="n">
        <v>2015</v>
      </c>
      <c r="D103" s="13" t="n">
        <v>0.005</v>
      </c>
      <c r="E103" s="11" t="n">
        <v>64</v>
      </c>
      <c r="F103" s="11" t="n">
        <v>10</v>
      </c>
      <c r="G103" s="19" t="n">
        <v>87</v>
      </c>
      <c r="H103" s="20" t="n">
        <v>2.855</v>
      </c>
      <c r="I103" s="13" t="n">
        <v>0.0362</v>
      </c>
    </row>
    <row r="104">
      <c r="A104" s="10" t="inlineStr">
        <is>
          <t>MP0102</t>
        </is>
      </c>
      <c r="B104" s="10" t="inlineStr">
        <is>
          <t>Génération 2013-2019</t>
        </is>
      </c>
      <c r="C104" s="11" t="n">
        <v>2018</v>
      </c>
      <c r="D104" s="13" t="n">
        <v>0.005</v>
      </c>
      <c r="E104" s="11" t="n">
        <v>57</v>
      </c>
      <c r="F104" s="11" t="n">
        <v>7</v>
      </c>
      <c r="G104" s="19" t="n">
        <v>35</v>
      </c>
      <c r="H104" s="20" t="n">
        <v>1.683</v>
      </c>
      <c r="I104" s="13" t="n">
        <v>0.0416</v>
      </c>
    </row>
    <row r="105">
      <c r="A105" s="10" t="inlineStr">
        <is>
          <t>MP0103</t>
        </is>
      </c>
      <c r="B105" s="10" t="inlineStr">
        <is>
          <t>Génération 2013-2019</t>
        </is>
      </c>
      <c r="C105" s="11" t="n">
        <v>2019</v>
      </c>
      <c r="D105" s="13" t="n">
        <v>0.005</v>
      </c>
      <c r="E105" s="11" t="n">
        <v>50</v>
      </c>
      <c r="F105" s="11" t="n">
        <v>6</v>
      </c>
      <c r="G105" s="19" t="n">
        <v>90</v>
      </c>
      <c r="H105" s="20" t="n">
        <v>2.982</v>
      </c>
      <c r="I105" s="13" t="n">
        <v>0.0486</v>
      </c>
    </row>
    <row r="106">
      <c r="A106" s="10" t="inlineStr">
        <is>
          <t>MP0104</t>
        </is>
      </c>
      <c r="B106" s="10" t="inlineStr">
        <is>
          <t>Génération 2013-2019</t>
        </is>
      </c>
      <c r="C106" s="11" t="n">
        <v>2019</v>
      </c>
      <c r="D106" s="13" t="n">
        <v>0.005</v>
      </c>
      <c r="E106" s="11" t="n">
        <v>63</v>
      </c>
      <c r="F106" s="11" t="n">
        <v>6</v>
      </c>
      <c r="G106" s="19" t="n">
        <v>31</v>
      </c>
      <c r="H106" s="20" t="n">
        <v>0.743</v>
      </c>
      <c r="I106" s="13" t="n">
        <v>0.0273</v>
      </c>
    </row>
    <row r="107">
      <c r="A107" s="10" t="inlineStr">
        <is>
          <t>MP0105</t>
        </is>
      </c>
      <c r="B107" s="10" t="inlineStr">
        <is>
          <t>Génération 2013-2019</t>
        </is>
      </c>
      <c r="C107" s="11" t="n">
        <v>2019</v>
      </c>
      <c r="D107" s="13" t="n">
        <v>0.005</v>
      </c>
      <c r="E107" s="11" t="n">
        <v>43</v>
      </c>
      <c r="F107" s="11" t="n">
        <v>6</v>
      </c>
      <c r="G107" s="19" t="n">
        <v>39</v>
      </c>
      <c r="H107" s="20" t="n">
        <v>1.685</v>
      </c>
      <c r="I107" s="13" t="n">
        <v>0.0402</v>
      </c>
    </row>
    <row r="108">
      <c r="A108" s="10" t="inlineStr">
        <is>
          <t>MP0106</t>
        </is>
      </c>
      <c r="B108" s="10" t="inlineStr">
        <is>
          <t>Génération 2013-2019</t>
        </is>
      </c>
      <c r="C108" s="11" t="n">
        <v>2015</v>
      </c>
      <c r="D108" s="13" t="n">
        <v>0.005</v>
      </c>
      <c r="E108" s="11" t="n">
        <v>72</v>
      </c>
      <c r="F108" s="11" t="n">
        <v>10</v>
      </c>
      <c r="G108" s="19" t="n">
        <v>130</v>
      </c>
      <c r="H108" s="20" t="n">
        <v>1.437</v>
      </c>
      <c r="I108" s="13" t="n">
        <v>0.0424</v>
      </c>
    </row>
    <row r="109">
      <c r="A109" s="10" t="inlineStr">
        <is>
          <t>MP0107</t>
        </is>
      </c>
      <c r="B109" s="10" t="inlineStr">
        <is>
          <t>Génération 2013-2019</t>
        </is>
      </c>
      <c r="C109" s="11" t="n">
        <v>2016</v>
      </c>
      <c r="D109" s="13" t="n">
        <v>0.005</v>
      </c>
      <c r="E109" s="11" t="n">
        <v>75</v>
      </c>
      <c r="F109" s="11" t="n">
        <v>9</v>
      </c>
      <c r="G109" s="19" t="n">
        <v>26</v>
      </c>
      <c r="H109" s="20" t="n">
        <v>0.643</v>
      </c>
      <c r="I109" s="13" t="n">
        <v>0.0377</v>
      </c>
    </row>
    <row r="110">
      <c r="A110" s="10" t="inlineStr">
        <is>
          <t>MP0108</t>
        </is>
      </c>
      <c r="B110" s="10" t="inlineStr">
        <is>
          <t>Génération 2013-2019</t>
        </is>
      </c>
      <c r="C110" s="11" t="n">
        <v>2017</v>
      </c>
      <c r="D110" s="13" t="n">
        <v>0.005</v>
      </c>
      <c r="E110" s="11" t="n">
        <v>53</v>
      </c>
      <c r="F110" s="11" t="n">
        <v>8</v>
      </c>
      <c r="G110" s="19" t="n">
        <v>13</v>
      </c>
      <c r="H110" s="20" t="n">
        <v>0.487</v>
      </c>
      <c r="I110" s="13" t="n">
        <v>0.0486</v>
      </c>
    </row>
    <row r="111">
      <c r="A111" s="10" t="inlineStr">
        <is>
          <t>MP0109</t>
        </is>
      </c>
      <c r="B111" s="10" t="inlineStr">
        <is>
          <t>Génération 2013-2019</t>
        </is>
      </c>
      <c r="C111" s="11" t="n">
        <v>2019</v>
      </c>
      <c r="D111" s="13" t="n">
        <v>0.005</v>
      </c>
      <c r="E111" s="11" t="n">
        <v>76</v>
      </c>
      <c r="F111" s="11" t="n">
        <v>6</v>
      </c>
      <c r="G111" s="19" t="n">
        <v>82</v>
      </c>
      <c r="H111" s="20" t="n">
        <v>2.944</v>
      </c>
      <c r="I111" s="13" t="n">
        <v>0.0514</v>
      </c>
    </row>
    <row r="112">
      <c r="A112" s="10" t="inlineStr">
        <is>
          <t>MP0110</t>
        </is>
      </c>
      <c r="B112" s="10" t="inlineStr">
        <is>
          <t>Génération 2013-2019</t>
        </is>
      </c>
      <c r="C112" s="11" t="n">
        <v>2019</v>
      </c>
      <c r="D112" s="13" t="n">
        <v>0.005</v>
      </c>
      <c r="E112" s="11" t="n">
        <v>76</v>
      </c>
      <c r="F112" s="11" t="n">
        <v>6</v>
      </c>
      <c r="G112" s="19" t="n">
        <v>32</v>
      </c>
      <c r="H112" s="20" t="n">
        <v>1.285</v>
      </c>
      <c r="I112" s="13" t="n">
        <v>0.0408</v>
      </c>
    </row>
    <row r="113">
      <c r="A113" s="10" t="inlineStr">
        <is>
          <t>MP0111</t>
        </is>
      </c>
      <c r="B113" s="10" t="inlineStr">
        <is>
          <t>Génération 2013-2019</t>
        </is>
      </c>
      <c r="C113" s="11" t="n">
        <v>2015</v>
      </c>
      <c r="D113" s="13" t="n">
        <v>0.005</v>
      </c>
      <c r="E113" s="11" t="n">
        <v>65</v>
      </c>
      <c r="F113" s="11" t="n">
        <v>10</v>
      </c>
      <c r="G113" s="19" t="n">
        <v>3</v>
      </c>
      <c r="H113" s="20" t="n">
        <v>0.751</v>
      </c>
      <c r="I113" s="13" t="n">
        <v>0.0451</v>
      </c>
    </row>
    <row r="114">
      <c r="A114" s="10" t="inlineStr">
        <is>
          <t>MP0112</t>
        </is>
      </c>
      <c r="B114" s="10" t="inlineStr">
        <is>
          <t>Génération 2013-2019</t>
        </is>
      </c>
      <c r="C114" s="11" t="n">
        <v>2015</v>
      </c>
      <c r="D114" s="13" t="n">
        <v>0.005</v>
      </c>
      <c r="E114" s="11" t="n">
        <v>70</v>
      </c>
      <c r="F114" s="11" t="n">
        <v>10</v>
      </c>
      <c r="G114" s="19" t="n">
        <v>44</v>
      </c>
      <c r="H114" s="20" t="n">
        <v>1.575</v>
      </c>
      <c r="I114" s="13" t="n">
        <v>0.0371</v>
      </c>
    </row>
    <row r="115">
      <c r="A115" s="10" t="inlineStr">
        <is>
          <t>MP0113</t>
        </is>
      </c>
      <c r="B115" s="10" t="inlineStr">
        <is>
          <t>Génération 2013-2019</t>
        </is>
      </c>
      <c r="C115" s="11" t="n">
        <v>2015</v>
      </c>
      <c r="D115" s="13" t="n">
        <v>0.005</v>
      </c>
      <c r="E115" s="11" t="n">
        <v>70</v>
      </c>
      <c r="F115" s="11" t="n">
        <v>10</v>
      </c>
      <c r="G115" s="19" t="n">
        <v>98</v>
      </c>
      <c r="H115" s="20" t="n">
        <v>4.194</v>
      </c>
      <c r="I115" s="13" t="n">
        <v>0.0417</v>
      </c>
    </row>
    <row r="116">
      <c r="A116" s="10" t="inlineStr">
        <is>
          <t>MP0114</t>
        </is>
      </c>
      <c r="B116" s="10" t="inlineStr">
        <is>
          <t>Génération 2013-2019</t>
        </is>
      </c>
      <c r="C116" s="11" t="n">
        <v>2018</v>
      </c>
      <c r="D116" s="13" t="n">
        <v>0.005</v>
      </c>
      <c r="E116" s="11" t="n">
        <v>63</v>
      </c>
      <c r="F116" s="11" t="n">
        <v>7</v>
      </c>
      <c r="G116" s="19" t="n">
        <v>5</v>
      </c>
      <c r="H116" s="20" t="n">
        <v>0.274</v>
      </c>
      <c r="I116" s="13" t="n">
        <v>0.0284</v>
      </c>
    </row>
    <row r="117">
      <c r="A117" s="10" t="inlineStr">
        <is>
          <t>MP0115</t>
        </is>
      </c>
      <c r="B117" s="10" t="inlineStr">
        <is>
          <t>Génération 2013-2019</t>
        </is>
      </c>
      <c r="C117" s="11" t="n">
        <v>2013</v>
      </c>
      <c r="D117" s="13" t="n">
        <v>0.005</v>
      </c>
      <c r="E117" s="11" t="n">
        <v>68</v>
      </c>
      <c r="F117" s="11" t="n">
        <v>12</v>
      </c>
      <c r="G117" s="19" t="n">
        <v>19</v>
      </c>
      <c r="H117" s="20" t="n">
        <v>0.514</v>
      </c>
      <c r="I117" s="13" t="n">
        <v>0.0313</v>
      </c>
    </row>
    <row r="118">
      <c r="A118" s="10" t="inlineStr">
        <is>
          <t>MP0116</t>
        </is>
      </c>
      <c r="B118" s="10" t="inlineStr">
        <is>
          <t>Génération 2013-2019</t>
        </is>
      </c>
      <c r="C118" s="11" t="n">
        <v>2016</v>
      </c>
      <c r="D118" s="13" t="n">
        <v>0.005</v>
      </c>
      <c r="E118" s="11" t="n">
        <v>62</v>
      </c>
      <c r="F118" s="11" t="n">
        <v>9</v>
      </c>
      <c r="G118" s="19" t="n">
        <v>27</v>
      </c>
      <c r="H118" s="20" t="n">
        <v>0.8129999999999999</v>
      </c>
      <c r="I118" s="13" t="n">
        <v>0.045</v>
      </c>
    </row>
    <row r="119">
      <c r="A119" s="10" t="inlineStr">
        <is>
          <t>MP0117</t>
        </is>
      </c>
      <c r="B119" s="10" t="inlineStr">
        <is>
          <t>Génération 2013-2019</t>
        </is>
      </c>
      <c r="C119" s="11" t="n">
        <v>2018</v>
      </c>
      <c r="D119" s="13" t="n">
        <v>0.005</v>
      </c>
      <c r="E119" s="11" t="n">
        <v>48</v>
      </c>
      <c r="F119" s="11" t="n">
        <v>7</v>
      </c>
      <c r="G119" s="19" t="n">
        <v>159</v>
      </c>
      <c r="H119" s="20" t="n">
        <v>5.475</v>
      </c>
      <c r="I119" s="13" t="n">
        <v>0.0365</v>
      </c>
    </row>
    <row r="120">
      <c r="A120" s="10" t="inlineStr">
        <is>
          <t>MP0118</t>
        </is>
      </c>
      <c r="B120" s="10" t="inlineStr">
        <is>
          <t>Génération 2013-2019</t>
        </is>
      </c>
      <c r="C120" s="11" t="n">
        <v>2016</v>
      </c>
      <c r="D120" s="13" t="n">
        <v>0.005</v>
      </c>
      <c r="E120" s="11" t="n">
        <v>64</v>
      </c>
      <c r="F120" s="11" t="n">
        <v>9</v>
      </c>
      <c r="G120" s="19" t="n">
        <v>84</v>
      </c>
      <c r="H120" s="20" t="n">
        <v>2.133</v>
      </c>
      <c r="I120" s="13" t="n">
        <v>0.0443</v>
      </c>
    </row>
    <row r="121">
      <c r="A121" s="10" t="inlineStr">
        <is>
          <t>MP0119</t>
        </is>
      </c>
      <c r="B121" s="10" t="inlineStr">
        <is>
          <t>Génération 2013-2019</t>
        </is>
      </c>
      <c r="C121" s="11" t="n">
        <v>2014</v>
      </c>
      <c r="D121" s="13" t="n">
        <v>0.005</v>
      </c>
      <c r="E121" s="11" t="n">
        <v>62</v>
      </c>
      <c r="F121" s="11" t="n">
        <v>11</v>
      </c>
      <c r="G121" s="19" t="n">
        <v>192</v>
      </c>
      <c r="H121" s="20" t="n">
        <v>3.143</v>
      </c>
      <c r="I121" s="13" t="n">
        <v>0.0282</v>
      </c>
    </row>
    <row r="122">
      <c r="A122" s="10" t="inlineStr">
        <is>
          <t>MP0120</t>
        </is>
      </c>
      <c r="B122" s="10" t="inlineStr">
        <is>
          <t>Génération 2013-2019</t>
        </is>
      </c>
      <c r="C122" s="11" t="n">
        <v>2014</v>
      </c>
      <c r="D122" s="13" t="n">
        <v>0.005</v>
      </c>
      <c r="E122" s="11" t="n">
        <v>60</v>
      </c>
      <c r="F122" s="11" t="n">
        <v>11</v>
      </c>
      <c r="G122" s="19" t="n">
        <v>17</v>
      </c>
      <c r="H122" s="20" t="n">
        <v>0.6830000000000001</v>
      </c>
      <c r="I122" s="13" t="n">
        <v>0.0398</v>
      </c>
    </row>
    <row r="123">
      <c r="A123" s="10" t="inlineStr">
        <is>
          <t>MP0121</t>
        </is>
      </c>
      <c r="B123" s="10" t="inlineStr">
        <is>
          <t>Génération 2013-2019</t>
        </is>
      </c>
      <c r="C123" s="11" t="n">
        <v>2014</v>
      </c>
      <c r="D123" s="13" t="n">
        <v>0.005</v>
      </c>
      <c r="E123" s="11" t="n">
        <v>64</v>
      </c>
      <c r="F123" s="11" t="n">
        <v>11</v>
      </c>
      <c r="G123" s="19" t="n">
        <v>10</v>
      </c>
      <c r="H123" s="20" t="n">
        <v>0.695</v>
      </c>
      <c r="I123" s="13" t="n">
        <v>0.0333</v>
      </c>
    </row>
    <row r="124">
      <c r="A124" s="10" t="inlineStr">
        <is>
          <t>MP0122</t>
        </is>
      </c>
      <c r="B124" s="10" t="inlineStr">
        <is>
          <t>Génération 2013-2019</t>
        </is>
      </c>
      <c r="C124" s="11" t="n">
        <v>2015</v>
      </c>
      <c r="D124" s="13" t="n">
        <v>0.005</v>
      </c>
      <c r="E124" s="11" t="n">
        <v>52</v>
      </c>
      <c r="F124" s="11" t="n">
        <v>10</v>
      </c>
      <c r="G124" s="19" t="n">
        <v>50</v>
      </c>
      <c r="H124" s="20" t="n">
        <v>2.434</v>
      </c>
      <c r="I124" s="13" t="n">
        <v>0.0475</v>
      </c>
    </row>
    <row r="125">
      <c r="A125" s="10" t="inlineStr">
        <is>
          <t>MP0123</t>
        </is>
      </c>
      <c r="B125" s="10" t="inlineStr">
        <is>
          <t>Génération 2013-2019</t>
        </is>
      </c>
      <c r="C125" s="11" t="n">
        <v>2019</v>
      </c>
      <c r="D125" s="13" t="n">
        <v>0.005</v>
      </c>
      <c r="E125" s="11" t="n">
        <v>56</v>
      </c>
      <c r="F125" s="11" t="n">
        <v>6</v>
      </c>
      <c r="G125" s="19" t="n">
        <v>148</v>
      </c>
      <c r="H125" s="20" t="n">
        <v>1.782</v>
      </c>
      <c r="I125" s="13" t="n">
        <v>0.0298</v>
      </c>
    </row>
    <row r="126">
      <c r="A126" s="10" t="inlineStr">
        <is>
          <t>MP0124</t>
        </is>
      </c>
      <c r="B126" s="10" t="inlineStr">
        <is>
          <t>Génération 2013-2019</t>
        </is>
      </c>
      <c r="C126" s="11" t="n">
        <v>2018</v>
      </c>
      <c r="D126" s="13" t="n">
        <v>0.005</v>
      </c>
      <c r="E126" s="11" t="n">
        <v>55</v>
      </c>
      <c r="F126" s="11" t="n">
        <v>7</v>
      </c>
      <c r="G126" s="19" t="n">
        <v>77</v>
      </c>
      <c r="H126" s="20" t="n">
        <v>2.639</v>
      </c>
      <c r="I126" s="13" t="n">
        <v>0.0402</v>
      </c>
    </row>
    <row r="127">
      <c r="A127" s="10" t="inlineStr">
        <is>
          <t>MP0125</t>
        </is>
      </c>
      <c r="B127" s="10" t="inlineStr">
        <is>
          <t>Génération 2013-2019</t>
        </is>
      </c>
      <c r="C127" s="11" t="n">
        <v>2017</v>
      </c>
      <c r="D127" s="13" t="n">
        <v>0.005</v>
      </c>
      <c r="E127" s="11" t="n">
        <v>58</v>
      </c>
      <c r="F127" s="11" t="n">
        <v>8</v>
      </c>
      <c r="G127" s="19" t="n">
        <v>20</v>
      </c>
      <c r="H127" s="20" t="n">
        <v>1.464</v>
      </c>
      <c r="I127" s="13" t="n">
        <v>0.0359</v>
      </c>
    </row>
    <row r="128">
      <c r="A128" s="10" t="inlineStr">
        <is>
          <t>MP0126</t>
        </is>
      </c>
      <c r="B128" s="10" t="inlineStr">
        <is>
          <t>Génération 2013-2019</t>
        </is>
      </c>
      <c r="C128" s="11" t="n">
        <v>2016</v>
      </c>
      <c r="D128" s="13" t="n">
        <v>0.005</v>
      </c>
      <c r="E128" s="11" t="n">
        <v>65</v>
      </c>
      <c r="F128" s="11" t="n">
        <v>9</v>
      </c>
      <c r="G128" s="19" t="n">
        <v>109</v>
      </c>
      <c r="H128" s="20" t="n">
        <v>2.125</v>
      </c>
      <c r="I128" s="13" t="n">
        <v>0.0423</v>
      </c>
    </row>
    <row r="129">
      <c r="A129" s="10" t="inlineStr">
        <is>
          <t>MP0127</t>
        </is>
      </c>
      <c r="B129" s="10" t="inlineStr">
        <is>
          <t>Génération 2013-2019</t>
        </is>
      </c>
      <c r="C129" s="11" t="n">
        <v>2018</v>
      </c>
      <c r="D129" s="13" t="n">
        <v>0.005</v>
      </c>
      <c r="E129" s="11" t="n">
        <v>61</v>
      </c>
      <c r="F129" s="11" t="n">
        <v>7</v>
      </c>
      <c r="G129" s="19" t="n">
        <v>49</v>
      </c>
      <c r="H129" s="20" t="n">
        <v>1.93</v>
      </c>
      <c r="I129" s="13" t="n">
        <v>0.0495</v>
      </c>
    </row>
    <row r="130">
      <c r="A130" s="10" t="inlineStr">
        <is>
          <t>MP0128</t>
        </is>
      </c>
      <c r="B130" s="10" t="inlineStr">
        <is>
          <t>Génération 2013-2019</t>
        </is>
      </c>
      <c r="C130" s="11" t="n">
        <v>2017</v>
      </c>
      <c r="D130" s="13" t="n">
        <v>0.005</v>
      </c>
      <c r="E130" s="11" t="n">
        <v>79</v>
      </c>
      <c r="F130" s="11" t="n">
        <v>8</v>
      </c>
      <c r="G130" s="19" t="n">
        <v>84</v>
      </c>
      <c r="H130" s="20" t="n">
        <v>3.169</v>
      </c>
      <c r="I130" s="13" t="n">
        <v>0.0323</v>
      </c>
    </row>
    <row r="131">
      <c r="A131" s="10" t="inlineStr">
        <is>
          <t>MP0129</t>
        </is>
      </c>
      <c r="B131" s="10" t="inlineStr">
        <is>
          <t>Génération 2013-2019</t>
        </is>
      </c>
      <c r="C131" s="11" t="n">
        <v>2019</v>
      </c>
      <c r="D131" s="13" t="n">
        <v>0.005</v>
      </c>
      <c r="E131" s="11" t="n">
        <v>61</v>
      </c>
      <c r="F131" s="11" t="n">
        <v>6</v>
      </c>
      <c r="G131" s="19" t="n">
        <v>132</v>
      </c>
      <c r="H131" s="20" t="n">
        <v>3.244</v>
      </c>
      <c r="I131" s="13" t="n">
        <v>0.0355</v>
      </c>
    </row>
    <row r="132">
      <c r="A132" s="10" t="inlineStr">
        <is>
          <t>MP0130</t>
        </is>
      </c>
      <c r="B132" s="10" t="inlineStr">
        <is>
          <t>Génération 2013-2019</t>
        </is>
      </c>
      <c r="C132" s="11" t="n">
        <v>2017</v>
      </c>
      <c r="D132" s="13" t="n">
        <v>0.005</v>
      </c>
      <c r="E132" s="11" t="n">
        <v>66</v>
      </c>
      <c r="F132" s="11" t="n">
        <v>8</v>
      </c>
      <c r="G132" s="19" t="n">
        <v>15</v>
      </c>
      <c r="H132" s="20" t="n">
        <v>0.465</v>
      </c>
      <c r="I132" s="13" t="n">
        <v>0.0459</v>
      </c>
    </row>
    <row r="133">
      <c r="A133" s="10" t="inlineStr">
        <is>
          <t>MP0131</t>
        </is>
      </c>
      <c r="B133" s="10" t="inlineStr">
        <is>
          <t>Génération 2013-2019</t>
        </is>
      </c>
      <c r="C133" s="11" t="n">
        <v>2015</v>
      </c>
      <c r="D133" s="13" t="n">
        <v>0.005</v>
      </c>
      <c r="E133" s="11" t="n">
        <v>72</v>
      </c>
      <c r="F133" s="11" t="n">
        <v>10</v>
      </c>
      <c r="G133" s="19" t="n">
        <v>3</v>
      </c>
      <c r="H133" s="20" t="n">
        <v>0.282</v>
      </c>
      <c r="I133" s="13" t="n">
        <v>0.0432</v>
      </c>
    </row>
    <row r="134">
      <c r="A134" s="10" t="inlineStr">
        <is>
          <t>MP0132</t>
        </is>
      </c>
      <c r="B134" s="10" t="inlineStr">
        <is>
          <t>Génération 2013-2019</t>
        </is>
      </c>
      <c r="C134" s="11" t="n">
        <v>2018</v>
      </c>
      <c r="D134" s="13" t="n">
        <v>0.005</v>
      </c>
      <c r="E134" s="11" t="n">
        <v>43</v>
      </c>
      <c r="F134" s="11" t="n">
        <v>7</v>
      </c>
      <c r="G134" s="19" t="n">
        <v>105</v>
      </c>
      <c r="H134" s="20" t="n">
        <v>3.791</v>
      </c>
      <c r="I134" s="13" t="n">
        <v>0.0348</v>
      </c>
    </row>
    <row r="135">
      <c r="A135" s="10" t="inlineStr">
        <is>
          <t>MP0133</t>
        </is>
      </c>
      <c r="B135" s="10" t="inlineStr">
        <is>
          <t>Génération 2013-2019</t>
        </is>
      </c>
      <c r="C135" s="11" t="n">
        <v>2014</v>
      </c>
      <c r="D135" s="13" t="n">
        <v>0.005</v>
      </c>
      <c r="E135" s="11" t="n">
        <v>63</v>
      </c>
      <c r="F135" s="11" t="n">
        <v>11</v>
      </c>
      <c r="G135" s="19" t="n">
        <v>139</v>
      </c>
      <c r="H135" s="20" t="n">
        <v>4.399</v>
      </c>
      <c r="I135" s="13" t="n">
        <v>0.039</v>
      </c>
    </row>
    <row r="136">
      <c r="A136" s="10" t="inlineStr">
        <is>
          <t>MP0134</t>
        </is>
      </c>
      <c r="B136" s="10" t="inlineStr">
        <is>
          <t>Génération 2013-2019</t>
        </is>
      </c>
      <c r="C136" s="11" t="n">
        <v>2014</v>
      </c>
      <c r="D136" s="13" t="n">
        <v>0.005</v>
      </c>
      <c r="E136" s="11" t="n">
        <v>60</v>
      </c>
      <c r="F136" s="11" t="n">
        <v>11</v>
      </c>
      <c r="G136" s="19" t="n">
        <v>14</v>
      </c>
      <c r="H136" s="20" t="n">
        <v>0.752</v>
      </c>
      <c r="I136" s="13" t="n">
        <v>0.0386</v>
      </c>
    </row>
    <row r="137">
      <c r="A137" s="10" t="inlineStr">
        <is>
          <t>MP0135</t>
        </is>
      </c>
      <c r="B137" s="10" t="inlineStr">
        <is>
          <t>Génération 2013-2019</t>
        </is>
      </c>
      <c r="C137" s="11" t="n">
        <v>2016</v>
      </c>
      <c r="D137" s="13" t="n">
        <v>0.005</v>
      </c>
      <c r="E137" s="11" t="n">
        <v>62</v>
      </c>
      <c r="F137" s="11" t="n">
        <v>9</v>
      </c>
      <c r="G137" s="19" t="n">
        <v>9</v>
      </c>
      <c r="H137" s="20" t="n">
        <v>0.384</v>
      </c>
      <c r="I137" s="13" t="n">
        <v>0.0427</v>
      </c>
    </row>
    <row r="138">
      <c r="A138" s="10" t="inlineStr">
        <is>
          <t>MP0136</t>
        </is>
      </c>
      <c r="B138" s="10" t="inlineStr">
        <is>
          <t>Génération 2013-2019</t>
        </is>
      </c>
      <c r="C138" s="11" t="n">
        <v>2013</v>
      </c>
      <c r="D138" s="13" t="n">
        <v>0.005</v>
      </c>
      <c r="E138" s="11" t="n">
        <v>77</v>
      </c>
      <c r="F138" s="11" t="n">
        <v>12</v>
      </c>
      <c r="G138" s="19" t="n">
        <v>37</v>
      </c>
      <c r="H138" s="20" t="n">
        <v>1.841</v>
      </c>
      <c r="I138" s="13" t="n">
        <v>0.0435</v>
      </c>
    </row>
    <row r="139">
      <c r="A139" s="10" t="inlineStr">
        <is>
          <t>MP0137</t>
        </is>
      </c>
      <c r="B139" s="10" t="inlineStr">
        <is>
          <t>Génération 2013-2019</t>
        </is>
      </c>
      <c r="C139" s="11" t="n">
        <v>2016</v>
      </c>
      <c r="D139" s="13" t="n">
        <v>0.005</v>
      </c>
      <c r="E139" s="11" t="n">
        <v>51</v>
      </c>
      <c r="F139" s="11" t="n">
        <v>9</v>
      </c>
      <c r="G139" s="19" t="n">
        <v>89</v>
      </c>
      <c r="H139" s="20" t="n">
        <v>3.582</v>
      </c>
      <c r="I139" s="13" t="n">
        <v>0.0456</v>
      </c>
    </row>
    <row r="140">
      <c r="A140" s="10" t="inlineStr">
        <is>
          <t>MP0138</t>
        </is>
      </c>
      <c r="B140" s="10" t="inlineStr">
        <is>
          <t>Génération 2013-2019</t>
        </is>
      </c>
      <c r="C140" s="11" t="n">
        <v>2015</v>
      </c>
      <c r="D140" s="13" t="n">
        <v>0.005</v>
      </c>
      <c r="E140" s="11" t="n">
        <v>63</v>
      </c>
      <c r="F140" s="11" t="n">
        <v>10</v>
      </c>
      <c r="G140" s="19" t="n">
        <v>109</v>
      </c>
      <c r="H140" s="20" t="n">
        <v>7.166</v>
      </c>
      <c r="I140" s="13" t="n">
        <v>0.0429</v>
      </c>
    </row>
    <row r="141">
      <c r="A141" s="10" t="inlineStr">
        <is>
          <t>MP0139</t>
        </is>
      </c>
      <c r="B141" s="10" t="inlineStr">
        <is>
          <t>Génération 2013-2019</t>
        </is>
      </c>
      <c r="C141" s="11" t="n">
        <v>2013</v>
      </c>
      <c r="D141" s="13" t="n">
        <v>0.005</v>
      </c>
      <c r="E141" s="11" t="n">
        <v>73</v>
      </c>
      <c r="F141" s="11" t="n">
        <v>12</v>
      </c>
      <c r="G141" s="19" t="n">
        <v>52</v>
      </c>
      <c r="H141" s="20" t="n">
        <v>2.571</v>
      </c>
      <c r="I141" s="13" t="n">
        <v>0.0379</v>
      </c>
    </row>
    <row r="142">
      <c r="A142" s="10" t="inlineStr">
        <is>
          <t>MP0140</t>
        </is>
      </c>
      <c r="B142" s="10" t="inlineStr">
        <is>
          <t>Génération 2013-2019</t>
        </is>
      </c>
      <c r="C142" s="11" t="n">
        <v>2017</v>
      </c>
      <c r="D142" s="13" t="n">
        <v>0.005</v>
      </c>
      <c r="E142" s="11" t="n">
        <v>34</v>
      </c>
      <c r="F142" s="11" t="n">
        <v>8</v>
      </c>
      <c r="G142" s="19" t="n">
        <v>24</v>
      </c>
      <c r="H142" s="20" t="n">
        <v>1.263</v>
      </c>
      <c r="I142" s="13" t="n">
        <v>0.0181</v>
      </c>
    </row>
    <row r="143">
      <c r="A143" s="10" t="inlineStr">
        <is>
          <t>MP0141</t>
        </is>
      </c>
      <c r="B143" s="10" t="inlineStr">
        <is>
          <t>Génération 2013-2019</t>
        </is>
      </c>
      <c r="C143" s="11" t="n">
        <v>2014</v>
      </c>
      <c r="D143" s="13" t="n">
        <v>0.005</v>
      </c>
      <c r="E143" s="11" t="n">
        <v>46</v>
      </c>
      <c r="F143" s="11" t="n">
        <v>11</v>
      </c>
      <c r="G143" s="19" t="n">
        <v>15</v>
      </c>
      <c r="H143" s="20" t="n">
        <v>0.833</v>
      </c>
      <c r="I143" s="13" t="n">
        <v>0.0429</v>
      </c>
    </row>
    <row r="144">
      <c r="A144" s="10" t="inlineStr">
        <is>
          <t>MP0142</t>
        </is>
      </c>
      <c r="B144" s="10" t="inlineStr">
        <is>
          <t>Génération 2013-2019</t>
        </is>
      </c>
      <c r="C144" s="11" t="n">
        <v>2017</v>
      </c>
      <c r="D144" s="13" t="n">
        <v>0.005</v>
      </c>
      <c r="E144" s="11" t="n">
        <v>54</v>
      </c>
      <c r="F144" s="11" t="n">
        <v>8</v>
      </c>
      <c r="G144" s="19" t="n">
        <v>20</v>
      </c>
      <c r="H144" s="20" t="n">
        <v>1.717</v>
      </c>
      <c r="I144" s="13" t="n">
        <v>0.0371</v>
      </c>
    </row>
    <row r="145">
      <c r="A145" s="10" t="inlineStr">
        <is>
          <t>MP0143</t>
        </is>
      </c>
      <c r="B145" s="10" t="inlineStr">
        <is>
          <t>Génération 2013-2019</t>
        </is>
      </c>
      <c r="C145" s="11" t="n">
        <v>2015</v>
      </c>
      <c r="D145" s="13" t="n">
        <v>0.005</v>
      </c>
      <c r="E145" s="11" t="n">
        <v>82</v>
      </c>
      <c r="F145" s="11" t="n">
        <v>10</v>
      </c>
      <c r="G145" s="19" t="n">
        <v>31</v>
      </c>
      <c r="H145" s="20" t="n">
        <v>1.339</v>
      </c>
      <c r="I145" s="13" t="n">
        <v>0.0424</v>
      </c>
    </row>
    <row r="146">
      <c r="A146" s="10" t="inlineStr">
        <is>
          <t>MP0144</t>
        </is>
      </c>
      <c r="B146" s="10" t="inlineStr">
        <is>
          <t>Génération 2013-2019</t>
        </is>
      </c>
      <c r="C146" s="11" t="n">
        <v>2018</v>
      </c>
      <c r="D146" s="13" t="n">
        <v>0.005</v>
      </c>
      <c r="E146" s="11" t="n">
        <v>61</v>
      </c>
      <c r="F146" s="11" t="n">
        <v>7</v>
      </c>
      <c r="G146" s="19" t="n">
        <v>29</v>
      </c>
      <c r="H146" s="20" t="n">
        <v>0.755</v>
      </c>
      <c r="I146" s="13" t="n">
        <v>0.0393</v>
      </c>
    </row>
    <row r="147">
      <c r="A147" s="10" t="inlineStr">
        <is>
          <t>MP0145</t>
        </is>
      </c>
      <c r="B147" s="10" t="inlineStr">
        <is>
          <t>Génération 2013-2019</t>
        </is>
      </c>
      <c r="C147" s="11" t="n">
        <v>2014</v>
      </c>
      <c r="D147" s="13" t="n">
        <v>0.005</v>
      </c>
      <c r="E147" s="11" t="n">
        <v>62</v>
      </c>
      <c r="F147" s="11" t="n">
        <v>11</v>
      </c>
      <c r="G147" s="19" t="n">
        <v>412</v>
      </c>
      <c r="H147" s="20" t="n">
        <v>8.76</v>
      </c>
      <c r="I147" s="13" t="n">
        <v>0.0385</v>
      </c>
    </row>
    <row r="148">
      <c r="A148" s="10" t="inlineStr">
        <is>
          <t>MP0146</t>
        </is>
      </c>
      <c r="B148" s="10" t="inlineStr">
        <is>
          <t>Génération 2013-2019</t>
        </is>
      </c>
      <c r="C148" s="11" t="n">
        <v>2019</v>
      </c>
      <c r="D148" s="13" t="n">
        <v>0.005</v>
      </c>
      <c r="E148" s="11" t="n">
        <v>68</v>
      </c>
      <c r="F148" s="11" t="n">
        <v>6</v>
      </c>
      <c r="G148" s="19" t="n">
        <v>166</v>
      </c>
      <c r="H148" s="20" t="n">
        <v>7.095</v>
      </c>
      <c r="I148" s="13" t="n">
        <v>0.0383</v>
      </c>
    </row>
    <row r="149">
      <c r="A149" s="10" t="inlineStr">
        <is>
          <t>MP0147</t>
        </is>
      </c>
      <c r="B149" s="10" t="inlineStr">
        <is>
          <t>Génération 2013-2019</t>
        </is>
      </c>
      <c r="C149" s="11" t="n">
        <v>2013</v>
      </c>
      <c r="D149" s="13" t="n">
        <v>0.005</v>
      </c>
      <c r="E149" s="11" t="n">
        <v>61</v>
      </c>
      <c r="F149" s="11" t="n">
        <v>12</v>
      </c>
      <c r="G149" s="19" t="n">
        <v>89</v>
      </c>
      <c r="H149" s="20" t="n">
        <v>4.221</v>
      </c>
      <c r="I149" s="13" t="n">
        <v>0.0437</v>
      </c>
    </row>
    <row r="150">
      <c r="A150" s="10" t="inlineStr">
        <is>
          <t>MP0148</t>
        </is>
      </c>
      <c r="B150" s="10" t="inlineStr">
        <is>
          <t>Génération 2013-2019</t>
        </is>
      </c>
      <c r="C150" s="11" t="n">
        <v>2017</v>
      </c>
      <c r="D150" s="13" t="n">
        <v>0.005</v>
      </c>
      <c r="E150" s="11" t="n">
        <v>51</v>
      </c>
      <c r="F150" s="11" t="n">
        <v>8</v>
      </c>
      <c r="G150" s="19" t="n">
        <v>11</v>
      </c>
      <c r="H150" s="20" t="n">
        <v>0.8139999999999999</v>
      </c>
      <c r="I150" s="13" t="n">
        <v>0.0375</v>
      </c>
    </row>
    <row r="151">
      <c r="A151" s="10" t="inlineStr">
        <is>
          <t>MP0149</t>
        </is>
      </c>
      <c r="B151" s="10" t="inlineStr">
        <is>
          <t>Génération 2013-2019</t>
        </is>
      </c>
      <c r="C151" s="11" t="n">
        <v>2015</v>
      </c>
      <c r="D151" s="13" t="n">
        <v>0.005</v>
      </c>
      <c r="E151" s="11" t="n">
        <v>49</v>
      </c>
      <c r="F151" s="11" t="n">
        <v>10</v>
      </c>
      <c r="G151" s="19" t="n">
        <v>64</v>
      </c>
      <c r="H151" s="20" t="n">
        <v>3.371</v>
      </c>
      <c r="I151" s="13" t="n">
        <v>0.0428</v>
      </c>
    </row>
    <row r="152">
      <c r="A152" s="10" t="inlineStr">
        <is>
          <t>MP0150</t>
        </is>
      </c>
      <c r="B152" s="10" t="inlineStr">
        <is>
          <t>Génération 2013-2019</t>
        </is>
      </c>
      <c r="C152" s="11" t="n">
        <v>2016</v>
      </c>
      <c r="D152" s="13" t="n">
        <v>0.005</v>
      </c>
      <c r="E152" s="11" t="n">
        <v>63</v>
      </c>
      <c r="F152" s="11" t="n">
        <v>9</v>
      </c>
      <c r="G152" s="19" t="n">
        <v>46</v>
      </c>
      <c r="H152" s="20" t="n">
        <v>2.838</v>
      </c>
      <c r="I152" s="13" t="n">
        <v>0.0422</v>
      </c>
    </row>
    <row r="153">
      <c r="A153" s="10" t="inlineStr">
        <is>
          <t>MP0151</t>
        </is>
      </c>
      <c r="B153" s="10" t="inlineStr">
        <is>
          <t>Génération 2013-2019</t>
        </is>
      </c>
      <c r="C153" s="11" t="n">
        <v>2015</v>
      </c>
      <c r="D153" s="13" t="n">
        <v>0.005</v>
      </c>
      <c r="E153" s="11" t="n">
        <v>67</v>
      </c>
      <c r="F153" s="11" t="n">
        <v>10</v>
      </c>
      <c r="G153" s="19" t="n">
        <v>116</v>
      </c>
      <c r="H153" s="20" t="n">
        <v>2.424</v>
      </c>
      <c r="I153" s="13" t="n">
        <v>0.042</v>
      </c>
    </row>
    <row r="154">
      <c r="A154" s="10" t="inlineStr">
        <is>
          <t>MP0152</t>
        </is>
      </c>
      <c r="B154" s="10" t="inlineStr">
        <is>
          <t>Génération 2013-2019</t>
        </is>
      </c>
      <c r="C154" s="11" t="n">
        <v>2018</v>
      </c>
      <c r="D154" s="13" t="n">
        <v>0.005</v>
      </c>
      <c r="E154" s="11" t="n">
        <v>66</v>
      </c>
      <c r="F154" s="11" t="n">
        <v>7</v>
      </c>
      <c r="G154" s="19" t="n">
        <v>128</v>
      </c>
      <c r="H154" s="20" t="n">
        <v>4.623</v>
      </c>
      <c r="I154" s="13" t="n">
        <v>0.0371</v>
      </c>
    </row>
    <row r="155">
      <c r="A155" s="10" t="inlineStr">
        <is>
          <t>MP0153</t>
        </is>
      </c>
      <c r="B155" s="10" t="inlineStr">
        <is>
          <t>Génération 2013-2019</t>
        </is>
      </c>
      <c r="C155" s="11" t="n">
        <v>2018</v>
      </c>
      <c r="D155" s="13" t="n">
        <v>0.005</v>
      </c>
      <c r="E155" s="11" t="n">
        <v>68</v>
      </c>
      <c r="F155" s="11" t="n">
        <v>7</v>
      </c>
      <c r="G155" s="19" t="n">
        <v>32</v>
      </c>
      <c r="H155" s="20" t="n">
        <v>2.828</v>
      </c>
      <c r="I155" s="13" t="n">
        <v>0.0508</v>
      </c>
    </row>
    <row r="156">
      <c r="A156" s="10" t="inlineStr">
        <is>
          <t>MP0154</t>
        </is>
      </c>
      <c r="B156" s="10" t="inlineStr">
        <is>
          <t>Génération 2013-2019</t>
        </is>
      </c>
      <c r="C156" s="11" t="n">
        <v>2018</v>
      </c>
      <c r="D156" s="13" t="n">
        <v>0.005</v>
      </c>
      <c r="E156" s="11" t="n">
        <v>59</v>
      </c>
      <c r="F156" s="11" t="n">
        <v>7</v>
      </c>
      <c r="G156" s="19" t="n">
        <v>61</v>
      </c>
      <c r="H156" s="20" t="n">
        <v>3.075</v>
      </c>
      <c r="I156" s="13" t="n">
        <v>0.0446</v>
      </c>
    </row>
    <row r="157">
      <c r="A157" s="10" t="inlineStr">
        <is>
          <t>MP0155</t>
        </is>
      </c>
      <c r="B157" s="10" t="inlineStr">
        <is>
          <t>Génération 2013-2019</t>
        </is>
      </c>
      <c r="C157" s="11" t="n">
        <v>2018</v>
      </c>
      <c r="D157" s="13" t="n">
        <v>0.005</v>
      </c>
      <c r="E157" s="11" t="n">
        <v>61</v>
      </c>
      <c r="F157" s="11" t="n">
        <v>7</v>
      </c>
      <c r="G157" s="19" t="n">
        <v>63</v>
      </c>
      <c r="H157" s="20" t="n">
        <v>2.831</v>
      </c>
      <c r="I157" s="13" t="n">
        <v>0.0449</v>
      </c>
    </row>
    <row r="158">
      <c r="A158" s="10" t="inlineStr">
        <is>
          <t>MP0156</t>
        </is>
      </c>
      <c r="B158" s="10" t="inlineStr">
        <is>
          <t>Génération 2013-2019</t>
        </is>
      </c>
      <c r="C158" s="11" t="n">
        <v>2014</v>
      </c>
      <c r="D158" s="13" t="n">
        <v>0.005</v>
      </c>
      <c r="E158" s="11" t="n">
        <v>55</v>
      </c>
      <c r="F158" s="11" t="n">
        <v>11</v>
      </c>
      <c r="G158" s="19" t="n">
        <v>65</v>
      </c>
      <c r="H158" s="20" t="n">
        <v>2.234</v>
      </c>
      <c r="I158" s="13" t="n">
        <v>0.0438</v>
      </c>
    </row>
    <row r="159">
      <c r="A159" s="10" t="inlineStr">
        <is>
          <t>MP0157</t>
        </is>
      </c>
      <c r="B159" s="10" t="inlineStr">
        <is>
          <t>Génération 2013-2019</t>
        </is>
      </c>
      <c r="C159" s="11" t="n">
        <v>2017</v>
      </c>
      <c r="D159" s="13" t="n">
        <v>0.005</v>
      </c>
      <c r="E159" s="11" t="n">
        <v>61</v>
      </c>
      <c r="F159" s="11" t="n">
        <v>8</v>
      </c>
      <c r="G159" s="19" t="n">
        <v>8</v>
      </c>
      <c r="H159" s="20" t="n">
        <v>0.408</v>
      </c>
      <c r="I159" s="13" t="n">
        <v>0.044</v>
      </c>
    </row>
    <row r="160">
      <c r="A160" s="10" t="inlineStr">
        <is>
          <t>MP0158</t>
        </is>
      </c>
      <c r="B160" s="10" t="inlineStr">
        <is>
          <t>Génération 2013-2019</t>
        </is>
      </c>
      <c r="C160" s="11" t="n">
        <v>2013</v>
      </c>
      <c r="D160" s="13" t="n">
        <v>0.005</v>
      </c>
      <c r="E160" s="11" t="n">
        <v>69</v>
      </c>
      <c r="F160" s="11" t="n">
        <v>12</v>
      </c>
      <c r="G160" s="19" t="n">
        <v>35</v>
      </c>
      <c r="H160" s="20" t="n">
        <v>1.819</v>
      </c>
      <c r="I160" s="13" t="n">
        <v>0.0326</v>
      </c>
    </row>
    <row r="161">
      <c r="A161" s="10" t="inlineStr">
        <is>
          <t>MP0159</t>
        </is>
      </c>
      <c r="B161" s="10" t="inlineStr">
        <is>
          <t>Génération 2013-2019</t>
        </is>
      </c>
      <c r="C161" s="11" t="n">
        <v>2017</v>
      </c>
      <c r="D161" s="13" t="n">
        <v>0.005</v>
      </c>
      <c r="E161" s="11" t="n">
        <v>74</v>
      </c>
      <c r="F161" s="11" t="n">
        <v>8</v>
      </c>
      <c r="G161" s="19" t="n">
        <v>33</v>
      </c>
      <c r="H161" s="20" t="n">
        <v>1.09</v>
      </c>
      <c r="I161" s="13" t="n">
        <v>0.0301</v>
      </c>
    </row>
    <row r="162">
      <c r="A162" s="10" t="inlineStr">
        <is>
          <t>MP0160</t>
        </is>
      </c>
      <c r="B162" s="10" t="inlineStr">
        <is>
          <t>Génération 2013-2019</t>
        </is>
      </c>
      <c r="C162" s="11" t="n">
        <v>2018</v>
      </c>
      <c r="D162" s="13" t="n">
        <v>0.005</v>
      </c>
      <c r="E162" s="11" t="n">
        <v>51</v>
      </c>
      <c r="F162" s="11" t="n">
        <v>7</v>
      </c>
      <c r="G162" s="19" t="n">
        <v>14</v>
      </c>
      <c r="H162" s="20" t="n">
        <v>0.611</v>
      </c>
      <c r="I162" s="13" t="n">
        <v>0.0384</v>
      </c>
    </row>
    <row r="163">
      <c r="A163" s="10" t="inlineStr">
        <is>
          <t>MP0161</t>
        </is>
      </c>
      <c r="B163" s="10" t="inlineStr">
        <is>
          <t>Génération 2013-2019</t>
        </is>
      </c>
      <c r="C163" s="11" t="n">
        <v>2014</v>
      </c>
      <c r="D163" s="13" t="n">
        <v>0.005</v>
      </c>
      <c r="E163" s="11" t="n">
        <v>59</v>
      </c>
      <c r="F163" s="11" t="n">
        <v>11</v>
      </c>
      <c r="G163" s="19" t="n">
        <v>114</v>
      </c>
      <c r="H163" s="20" t="n">
        <v>6.532</v>
      </c>
      <c r="I163" s="13" t="n">
        <v>0.042</v>
      </c>
    </row>
    <row r="164">
      <c r="A164" s="10" t="inlineStr">
        <is>
          <t>MP0162</t>
        </is>
      </c>
      <c r="B164" s="10" t="inlineStr">
        <is>
          <t>Génération 2013-2019</t>
        </is>
      </c>
      <c r="C164" s="11" t="n">
        <v>2019</v>
      </c>
      <c r="D164" s="13" t="n">
        <v>0.005</v>
      </c>
      <c r="E164" s="11" t="n">
        <v>64</v>
      </c>
      <c r="F164" s="11" t="n">
        <v>6</v>
      </c>
      <c r="G164" s="19" t="n">
        <v>118</v>
      </c>
      <c r="H164" s="20" t="n">
        <v>6.783</v>
      </c>
      <c r="I164" s="13" t="n">
        <v>0.0274</v>
      </c>
    </row>
    <row r="165">
      <c r="A165" s="10" t="inlineStr">
        <is>
          <t>MP0163</t>
        </is>
      </c>
      <c r="B165" s="10" t="inlineStr">
        <is>
          <t>Génération 2013-2019</t>
        </is>
      </c>
      <c r="C165" s="11" t="n">
        <v>2019</v>
      </c>
      <c r="D165" s="13" t="n">
        <v>0.005</v>
      </c>
      <c r="E165" s="11" t="n">
        <v>57</v>
      </c>
      <c r="F165" s="11" t="n">
        <v>6</v>
      </c>
      <c r="G165" s="19" t="n">
        <v>357</v>
      </c>
      <c r="H165" s="20" t="n">
        <v>5.046</v>
      </c>
      <c r="I165" s="13" t="n">
        <v>0.0402</v>
      </c>
    </row>
    <row r="166">
      <c r="A166" s="10" t="inlineStr">
        <is>
          <t>MP0164</t>
        </is>
      </c>
      <c r="B166" s="10" t="inlineStr">
        <is>
          <t>Génération 2013-2019</t>
        </is>
      </c>
      <c r="C166" s="11" t="n">
        <v>2015</v>
      </c>
      <c r="D166" s="13" t="n">
        <v>0.005</v>
      </c>
      <c r="E166" s="11" t="n">
        <v>71</v>
      </c>
      <c r="F166" s="11" t="n">
        <v>10</v>
      </c>
      <c r="G166" s="19" t="n">
        <v>27</v>
      </c>
      <c r="H166" s="20" t="n">
        <v>2.086</v>
      </c>
      <c r="I166" s="13" t="n">
        <v>0.0412</v>
      </c>
    </row>
    <row r="167">
      <c r="A167" s="10" t="inlineStr">
        <is>
          <t>MP0165</t>
        </is>
      </c>
      <c r="B167" s="10" t="inlineStr">
        <is>
          <t>Génération 2013-2019</t>
        </is>
      </c>
      <c r="C167" s="11" t="n">
        <v>2017</v>
      </c>
      <c r="D167" s="13" t="n">
        <v>0.005</v>
      </c>
      <c r="E167" s="11" t="n">
        <v>56</v>
      </c>
      <c r="F167" s="11" t="n">
        <v>8</v>
      </c>
      <c r="G167" s="19" t="n">
        <v>93</v>
      </c>
      <c r="H167" s="20" t="n">
        <v>5.011</v>
      </c>
      <c r="I167" s="13" t="n">
        <v>0.0368</v>
      </c>
    </row>
    <row r="168">
      <c r="A168" s="10" t="inlineStr">
        <is>
          <t>MP0166</t>
        </is>
      </c>
      <c r="B168" s="10" t="inlineStr">
        <is>
          <t>Génération 2013-2019</t>
        </is>
      </c>
      <c r="C168" s="11" t="n">
        <v>2017</v>
      </c>
      <c r="D168" s="13" t="n">
        <v>0.005</v>
      </c>
      <c r="E168" s="11" t="n">
        <v>70</v>
      </c>
      <c r="F168" s="11" t="n">
        <v>8</v>
      </c>
      <c r="G168" s="19" t="n">
        <v>54</v>
      </c>
      <c r="H168" s="20" t="n">
        <v>1.718</v>
      </c>
      <c r="I168" s="13" t="n">
        <v>0.0448</v>
      </c>
    </row>
    <row r="169">
      <c r="A169" s="10" t="inlineStr">
        <is>
          <t>MP0167</t>
        </is>
      </c>
      <c r="B169" s="10" t="inlineStr">
        <is>
          <t>Génération 2013-2019</t>
        </is>
      </c>
      <c r="C169" s="11" t="n">
        <v>2019</v>
      </c>
      <c r="D169" s="13" t="n">
        <v>0.005</v>
      </c>
      <c r="E169" s="11" t="n">
        <v>66</v>
      </c>
      <c r="F169" s="11" t="n">
        <v>6</v>
      </c>
      <c r="G169" s="19" t="n">
        <v>76</v>
      </c>
      <c r="H169" s="20" t="n">
        <v>2.001</v>
      </c>
      <c r="I169" s="13" t="n">
        <v>0.0458</v>
      </c>
    </row>
    <row r="170">
      <c r="A170" s="10" t="inlineStr">
        <is>
          <t>MP0168</t>
        </is>
      </c>
      <c r="B170" s="10" t="inlineStr">
        <is>
          <t>Génération 2013-2019</t>
        </is>
      </c>
      <c r="C170" s="11" t="n">
        <v>2017</v>
      </c>
      <c r="D170" s="13" t="n">
        <v>0.005</v>
      </c>
      <c r="E170" s="11" t="n">
        <v>62</v>
      </c>
      <c r="F170" s="11" t="n">
        <v>8</v>
      </c>
      <c r="G170" s="19" t="n">
        <v>24</v>
      </c>
      <c r="H170" s="20" t="n">
        <v>0.709</v>
      </c>
      <c r="I170" s="13" t="n">
        <v>0.0348</v>
      </c>
    </row>
    <row r="171">
      <c r="A171" s="10" t="inlineStr">
        <is>
          <t>MP0169</t>
        </is>
      </c>
      <c r="B171" s="10" t="inlineStr">
        <is>
          <t>Génération 2013-2019</t>
        </is>
      </c>
      <c r="C171" s="11" t="n">
        <v>2016</v>
      </c>
      <c r="D171" s="13" t="n">
        <v>0.005</v>
      </c>
      <c r="E171" s="11" t="n">
        <v>56</v>
      </c>
      <c r="F171" s="11" t="n">
        <v>9</v>
      </c>
      <c r="G171" s="19" t="n">
        <v>42</v>
      </c>
      <c r="H171" s="20" t="n">
        <v>2.337</v>
      </c>
      <c r="I171" s="13" t="n">
        <v>0.0343</v>
      </c>
    </row>
    <row r="172">
      <c r="A172" s="10" t="inlineStr">
        <is>
          <t>MP0170</t>
        </is>
      </c>
      <c r="B172" s="10" t="inlineStr">
        <is>
          <t>Génération 2013-2019</t>
        </is>
      </c>
      <c r="C172" s="11" t="n">
        <v>2019</v>
      </c>
      <c r="D172" s="13" t="n">
        <v>0.005</v>
      </c>
      <c r="E172" s="11" t="n">
        <v>49</v>
      </c>
      <c r="F172" s="11" t="n">
        <v>6</v>
      </c>
      <c r="G172" s="19" t="n">
        <v>47</v>
      </c>
      <c r="H172" s="20" t="n">
        <v>1.785</v>
      </c>
      <c r="I172" s="13" t="n">
        <v>0.0407</v>
      </c>
    </row>
    <row r="173">
      <c r="A173" s="10" t="inlineStr">
        <is>
          <t>MP0171</t>
        </is>
      </c>
      <c r="B173" s="10" t="inlineStr">
        <is>
          <t>Génération 2013-2019</t>
        </is>
      </c>
      <c r="C173" s="11" t="n">
        <v>2019</v>
      </c>
      <c r="D173" s="13" t="n">
        <v>0.005</v>
      </c>
      <c r="E173" s="11" t="n">
        <v>82</v>
      </c>
      <c r="F173" s="11" t="n">
        <v>6</v>
      </c>
      <c r="G173" s="19" t="n">
        <v>28</v>
      </c>
      <c r="H173" s="20" t="n">
        <v>0.6</v>
      </c>
      <c r="I173" s="13" t="n">
        <v>0.0488</v>
      </c>
    </row>
    <row r="174">
      <c r="A174" s="10" t="inlineStr">
        <is>
          <t>MP0172</t>
        </is>
      </c>
      <c r="B174" s="10" t="inlineStr">
        <is>
          <t>Génération 2013-2019</t>
        </is>
      </c>
      <c r="C174" s="11" t="n">
        <v>2017</v>
      </c>
      <c r="D174" s="13" t="n">
        <v>0.005</v>
      </c>
      <c r="E174" s="11" t="n">
        <v>64</v>
      </c>
      <c r="F174" s="11" t="n">
        <v>8</v>
      </c>
      <c r="G174" s="19" t="n">
        <v>36</v>
      </c>
      <c r="H174" s="20" t="n">
        <v>1.633</v>
      </c>
      <c r="I174" s="13" t="n">
        <v>0.0427</v>
      </c>
    </row>
    <row r="175">
      <c r="A175" s="10" t="inlineStr">
        <is>
          <t>MP0173</t>
        </is>
      </c>
      <c r="B175" s="10" t="inlineStr">
        <is>
          <t>Génération 2013-2019</t>
        </is>
      </c>
      <c r="C175" s="11" t="n">
        <v>2017</v>
      </c>
      <c r="D175" s="13" t="n">
        <v>0.005</v>
      </c>
      <c r="E175" s="11" t="n">
        <v>59</v>
      </c>
      <c r="F175" s="11" t="n">
        <v>8</v>
      </c>
      <c r="G175" s="19" t="n">
        <v>18</v>
      </c>
      <c r="H175" s="20" t="n">
        <v>1.596</v>
      </c>
      <c r="I175" s="13" t="n">
        <v>0.0373</v>
      </c>
    </row>
    <row r="176">
      <c r="A176" s="10" t="inlineStr">
        <is>
          <t>MP0174</t>
        </is>
      </c>
      <c r="B176" s="10" t="inlineStr">
        <is>
          <t>Génération 2013-2019</t>
        </is>
      </c>
      <c r="C176" s="11" t="n">
        <v>2015</v>
      </c>
      <c r="D176" s="13" t="n">
        <v>0.005</v>
      </c>
      <c r="E176" s="11" t="n">
        <v>56</v>
      </c>
      <c r="F176" s="11" t="n">
        <v>10</v>
      </c>
      <c r="G176" s="19" t="n">
        <v>175</v>
      </c>
      <c r="H176" s="20" t="n">
        <v>7.166</v>
      </c>
      <c r="I176" s="13" t="n">
        <v>0.0336</v>
      </c>
    </row>
    <row r="177">
      <c r="A177" s="10" t="inlineStr">
        <is>
          <t>MP0175</t>
        </is>
      </c>
      <c r="B177" s="10" t="inlineStr">
        <is>
          <t>Génération 2013-2019</t>
        </is>
      </c>
      <c r="C177" s="11" t="n">
        <v>2019</v>
      </c>
      <c r="D177" s="13" t="n">
        <v>0.005</v>
      </c>
      <c r="E177" s="11" t="n">
        <v>64</v>
      </c>
      <c r="F177" s="11" t="n">
        <v>6</v>
      </c>
      <c r="G177" s="19" t="n">
        <v>40</v>
      </c>
      <c r="H177" s="20" t="n">
        <v>3.479</v>
      </c>
      <c r="I177" s="13" t="n">
        <v>0.0395</v>
      </c>
    </row>
    <row r="178">
      <c r="A178" s="10" t="inlineStr">
        <is>
          <t>MP0176</t>
        </is>
      </c>
      <c r="B178" s="10" t="inlineStr">
        <is>
          <t>Génération 2013-2019</t>
        </is>
      </c>
      <c r="C178" s="11" t="n">
        <v>2017</v>
      </c>
      <c r="D178" s="13" t="n">
        <v>0.005</v>
      </c>
      <c r="E178" s="11" t="n">
        <v>51</v>
      </c>
      <c r="F178" s="11" t="n">
        <v>8</v>
      </c>
      <c r="G178" s="19" t="n">
        <v>45</v>
      </c>
      <c r="H178" s="20" t="n">
        <v>1.717</v>
      </c>
      <c r="I178" s="13" t="n">
        <v>0.0304</v>
      </c>
    </row>
    <row r="179">
      <c r="A179" s="10" t="inlineStr">
        <is>
          <t>MP0177</t>
        </is>
      </c>
      <c r="B179" s="10" t="inlineStr">
        <is>
          <t>Génération 2013-2019</t>
        </is>
      </c>
      <c r="C179" s="11" t="n">
        <v>2018</v>
      </c>
      <c r="D179" s="13" t="n">
        <v>0.005</v>
      </c>
      <c r="E179" s="11" t="n">
        <v>52</v>
      </c>
      <c r="F179" s="11" t="n">
        <v>7</v>
      </c>
      <c r="G179" s="19" t="n">
        <v>44</v>
      </c>
      <c r="H179" s="20" t="n">
        <v>2.076</v>
      </c>
      <c r="I179" s="13" t="n">
        <v>0.0479</v>
      </c>
    </row>
    <row r="180">
      <c r="A180" s="10" t="inlineStr">
        <is>
          <t>MP0178</t>
        </is>
      </c>
      <c r="B180" s="10" t="inlineStr">
        <is>
          <t>Génération 2013-2019</t>
        </is>
      </c>
      <c r="C180" s="11" t="n">
        <v>2015</v>
      </c>
      <c r="D180" s="13" t="n">
        <v>0.005</v>
      </c>
      <c r="E180" s="11" t="n">
        <v>56</v>
      </c>
      <c r="F180" s="11" t="n">
        <v>10</v>
      </c>
      <c r="G180" s="19" t="n">
        <v>20</v>
      </c>
      <c r="H180" s="20" t="n">
        <v>1.762</v>
      </c>
      <c r="I180" s="13" t="n">
        <v>0.0415</v>
      </c>
    </row>
    <row r="181">
      <c r="A181" s="10" t="inlineStr">
        <is>
          <t>MP0179</t>
        </is>
      </c>
      <c r="B181" s="10" t="inlineStr">
        <is>
          <t>Génération 2013-2019</t>
        </is>
      </c>
      <c r="C181" s="11" t="n">
        <v>2017</v>
      </c>
      <c r="D181" s="13" t="n">
        <v>0.005</v>
      </c>
      <c r="E181" s="11" t="n">
        <v>59</v>
      </c>
      <c r="F181" s="11" t="n">
        <v>8</v>
      </c>
      <c r="G181" s="19" t="n">
        <v>27</v>
      </c>
      <c r="H181" s="20" t="n">
        <v>1.446</v>
      </c>
      <c r="I181" s="13" t="n">
        <v>0.0404</v>
      </c>
    </row>
    <row r="182">
      <c r="A182" s="10" t="inlineStr">
        <is>
          <t>MP0180</t>
        </is>
      </c>
      <c r="B182" s="10" t="inlineStr">
        <is>
          <t>Génération 2013-2019</t>
        </is>
      </c>
      <c r="C182" s="11" t="n">
        <v>2016</v>
      </c>
      <c r="D182" s="13" t="n">
        <v>0.005</v>
      </c>
      <c r="E182" s="11" t="n">
        <v>57</v>
      </c>
      <c r="F182" s="11" t="n">
        <v>9</v>
      </c>
      <c r="G182" s="19" t="n">
        <v>34</v>
      </c>
      <c r="H182" s="20" t="n">
        <v>0.716</v>
      </c>
      <c r="I182" s="13" t="n">
        <v>0.0307</v>
      </c>
    </row>
    <row r="183">
      <c r="A183" s="10" t="inlineStr">
        <is>
          <t>MP0181</t>
        </is>
      </c>
      <c r="B183" s="10" t="inlineStr">
        <is>
          <t>Génération 2013-2019</t>
        </is>
      </c>
      <c r="C183" s="11" t="n">
        <v>2019</v>
      </c>
      <c r="D183" s="13" t="n">
        <v>0.005</v>
      </c>
      <c r="E183" s="11" t="n">
        <v>66</v>
      </c>
      <c r="F183" s="11" t="n">
        <v>6</v>
      </c>
      <c r="G183" s="19" t="n">
        <v>41</v>
      </c>
      <c r="H183" s="20" t="n">
        <v>1.507</v>
      </c>
      <c r="I183" s="13" t="n">
        <v>0.0364</v>
      </c>
    </row>
    <row r="184">
      <c r="A184" s="10" t="inlineStr">
        <is>
          <t>MP0182</t>
        </is>
      </c>
      <c r="B184" s="10" t="inlineStr">
        <is>
          <t>Génération 2013-2019</t>
        </is>
      </c>
      <c r="C184" s="11" t="n">
        <v>2014</v>
      </c>
      <c r="D184" s="13" t="n">
        <v>0.005</v>
      </c>
      <c r="E184" s="11" t="n">
        <v>69</v>
      </c>
      <c r="F184" s="11" t="n">
        <v>11</v>
      </c>
      <c r="G184" s="19" t="n">
        <v>20</v>
      </c>
      <c r="H184" s="20" t="n">
        <v>0.9360000000000001</v>
      </c>
      <c r="I184" s="13" t="n">
        <v>0.0361</v>
      </c>
    </row>
    <row r="185">
      <c r="A185" s="10" t="inlineStr">
        <is>
          <t>MP0183</t>
        </is>
      </c>
      <c r="B185" s="10" t="inlineStr">
        <is>
          <t>Génération 2013-2019</t>
        </is>
      </c>
      <c r="C185" s="11" t="n">
        <v>2016</v>
      </c>
      <c r="D185" s="13" t="n">
        <v>0.005</v>
      </c>
      <c r="E185" s="11" t="n">
        <v>72</v>
      </c>
      <c r="F185" s="11" t="n">
        <v>9</v>
      </c>
      <c r="G185" s="19" t="n">
        <v>6</v>
      </c>
      <c r="H185" s="20" t="n">
        <v>0.626</v>
      </c>
      <c r="I185" s="13" t="n">
        <v>0.043</v>
      </c>
    </row>
    <row r="186">
      <c r="A186" s="10" t="inlineStr">
        <is>
          <t>MP0184</t>
        </is>
      </c>
      <c r="B186" s="10" t="inlineStr">
        <is>
          <t>Génération 2013-2019</t>
        </is>
      </c>
      <c r="C186" s="11" t="n">
        <v>2013</v>
      </c>
      <c r="D186" s="13" t="n">
        <v>0.005</v>
      </c>
      <c r="E186" s="11" t="n">
        <v>73</v>
      </c>
      <c r="F186" s="11" t="n">
        <v>12</v>
      </c>
      <c r="G186" s="19" t="n">
        <v>34</v>
      </c>
      <c r="H186" s="20" t="n">
        <v>2.561</v>
      </c>
      <c r="I186" s="13" t="n">
        <v>0.0437</v>
      </c>
    </row>
    <row r="187">
      <c r="A187" s="10" t="inlineStr">
        <is>
          <t>MP0185</t>
        </is>
      </c>
      <c r="B187" s="10" t="inlineStr">
        <is>
          <t>Génération 2013-2019</t>
        </is>
      </c>
      <c r="C187" s="11" t="n">
        <v>2019</v>
      </c>
      <c r="D187" s="13" t="n">
        <v>0.005</v>
      </c>
      <c r="E187" s="11" t="n">
        <v>65</v>
      </c>
      <c r="F187" s="11" t="n">
        <v>6</v>
      </c>
      <c r="G187" s="19" t="n">
        <v>42</v>
      </c>
      <c r="H187" s="20" t="n">
        <v>2.326</v>
      </c>
      <c r="I187" s="13" t="n">
        <v>0.0334</v>
      </c>
    </row>
    <row r="188">
      <c r="A188" s="10" t="inlineStr">
        <is>
          <t>MP0186</t>
        </is>
      </c>
      <c r="B188" s="10" t="inlineStr">
        <is>
          <t>Génération 2013-2019</t>
        </is>
      </c>
      <c r="C188" s="11" t="n">
        <v>2015</v>
      </c>
      <c r="D188" s="13" t="n">
        <v>0.005</v>
      </c>
      <c r="E188" s="11" t="n">
        <v>49</v>
      </c>
      <c r="F188" s="11" t="n">
        <v>10</v>
      </c>
      <c r="G188" s="19" t="n">
        <v>14</v>
      </c>
      <c r="H188" s="20" t="n">
        <v>0.407</v>
      </c>
      <c r="I188" s="13" t="n">
        <v>0.0478</v>
      </c>
    </row>
    <row r="189">
      <c r="A189" s="10" t="inlineStr">
        <is>
          <t>MP0187</t>
        </is>
      </c>
      <c r="B189" s="10" t="inlineStr">
        <is>
          <t>Génération 2013-2019</t>
        </is>
      </c>
      <c r="C189" s="11" t="n">
        <v>2018</v>
      </c>
      <c r="D189" s="13" t="n">
        <v>0.005</v>
      </c>
      <c r="E189" s="11" t="n">
        <v>68</v>
      </c>
      <c r="F189" s="11" t="n">
        <v>7</v>
      </c>
      <c r="G189" s="19" t="n">
        <v>17</v>
      </c>
      <c r="H189" s="20" t="n">
        <v>1.542</v>
      </c>
      <c r="I189" s="13" t="n">
        <v>0.0384</v>
      </c>
    </row>
    <row r="190">
      <c r="A190" s="10" t="inlineStr">
        <is>
          <t>MP0188</t>
        </is>
      </c>
      <c r="B190" s="10" t="inlineStr">
        <is>
          <t>Génération 2013-2019</t>
        </is>
      </c>
      <c r="C190" s="11" t="n">
        <v>2014</v>
      </c>
      <c r="D190" s="13" t="n">
        <v>0.005</v>
      </c>
      <c r="E190" s="11" t="n">
        <v>60</v>
      </c>
      <c r="F190" s="11" t="n">
        <v>11</v>
      </c>
      <c r="G190" s="19" t="n">
        <v>85</v>
      </c>
      <c r="H190" s="20" t="n">
        <v>3.773</v>
      </c>
      <c r="I190" s="13" t="n">
        <v>0.0405</v>
      </c>
    </row>
    <row r="191">
      <c r="A191" s="10" t="inlineStr">
        <is>
          <t>MP0189</t>
        </is>
      </c>
      <c r="B191" s="10" t="inlineStr">
        <is>
          <t>Génération 2013-2019</t>
        </is>
      </c>
      <c r="C191" s="11" t="n">
        <v>2016</v>
      </c>
      <c r="D191" s="13" t="n">
        <v>0.005</v>
      </c>
      <c r="E191" s="11" t="n">
        <v>71</v>
      </c>
      <c r="F191" s="11" t="n">
        <v>9</v>
      </c>
      <c r="G191" s="19" t="n">
        <v>113</v>
      </c>
      <c r="H191" s="20" t="n">
        <v>3.969</v>
      </c>
      <c r="I191" s="13" t="n">
        <v>0.0421</v>
      </c>
    </row>
    <row r="192">
      <c r="A192" s="10" t="inlineStr">
        <is>
          <t>MP0190</t>
        </is>
      </c>
      <c r="B192" s="10" t="inlineStr">
        <is>
          <t>Génération 2013-2019</t>
        </is>
      </c>
      <c r="C192" s="11" t="n">
        <v>2014</v>
      </c>
      <c r="D192" s="13" t="n">
        <v>0.005</v>
      </c>
      <c r="E192" s="11" t="n">
        <v>66</v>
      </c>
      <c r="F192" s="11" t="n">
        <v>11</v>
      </c>
      <c r="G192" s="19" t="n">
        <v>91</v>
      </c>
      <c r="H192" s="20" t="n">
        <v>3.865</v>
      </c>
      <c r="I192" s="13" t="n">
        <v>0.0355</v>
      </c>
    </row>
    <row r="193">
      <c r="A193" s="10" t="inlineStr">
        <is>
          <t>MP0191</t>
        </is>
      </c>
      <c r="B193" s="10" t="inlineStr">
        <is>
          <t>Génération 2013-2019</t>
        </is>
      </c>
      <c r="C193" s="11" t="n">
        <v>2013</v>
      </c>
      <c r="D193" s="13" t="n">
        <v>0.005</v>
      </c>
      <c r="E193" s="11" t="n">
        <v>60</v>
      </c>
      <c r="F193" s="11" t="n">
        <v>12</v>
      </c>
      <c r="G193" s="19" t="n">
        <v>45</v>
      </c>
      <c r="H193" s="20" t="n">
        <v>1.755</v>
      </c>
      <c r="I193" s="13" t="n">
        <v>0.0384</v>
      </c>
    </row>
    <row r="194">
      <c r="A194" s="10" t="inlineStr">
        <is>
          <t>MP0192</t>
        </is>
      </c>
      <c r="B194" s="10" t="inlineStr">
        <is>
          <t>Génération 2013-2019</t>
        </is>
      </c>
      <c r="C194" s="11" t="n">
        <v>2018</v>
      </c>
      <c r="D194" s="13" t="n">
        <v>0.005</v>
      </c>
      <c r="E194" s="11" t="n">
        <v>59</v>
      </c>
      <c r="F194" s="11" t="n">
        <v>7</v>
      </c>
      <c r="G194" s="19" t="n">
        <v>23</v>
      </c>
      <c r="H194" s="20" t="n">
        <v>0.865</v>
      </c>
      <c r="I194" s="13" t="n">
        <v>0.0274</v>
      </c>
    </row>
    <row r="195">
      <c r="A195" s="10" t="inlineStr">
        <is>
          <t>MP0193</t>
        </is>
      </c>
      <c r="B195" s="10" t="inlineStr">
        <is>
          <t>Génération 2013-2019</t>
        </is>
      </c>
      <c r="C195" s="11" t="n">
        <v>2018</v>
      </c>
      <c r="D195" s="13" t="n">
        <v>0.005</v>
      </c>
      <c r="E195" s="11" t="n">
        <v>52</v>
      </c>
      <c r="F195" s="11" t="n">
        <v>7</v>
      </c>
      <c r="G195" s="19" t="n">
        <v>19</v>
      </c>
      <c r="H195" s="20" t="n">
        <v>0.715</v>
      </c>
      <c r="I195" s="13" t="n">
        <v>0.0359</v>
      </c>
    </row>
    <row r="196">
      <c r="A196" s="10" t="inlineStr">
        <is>
          <t>MP0194</t>
        </is>
      </c>
      <c r="B196" s="10" t="inlineStr">
        <is>
          <t>Génération 2013-2019</t>
        </is>
      </c>
      <c r="C196" s="11" t="n">
        <v>2013</v>
      </c>
      <c r="D196" s="13" t="n">
        <v>0.005</v>
      </c>
      <c r="E196" s="11" t="n">
        <v>61</v>
      </c>
      <c r="F196" s="11" t="n">
        <v>12</v>
      </c>
      <c r="G196" s="19" t="n">
        <v>28</v>
      </c>
      <c r="H196" s="20" t="n">
        <v>2.241</v>
      </c>
      <c r="I196" s="13" t="n">
        <v>0.0404</v>
      </c>
    </row>
    <row r="197">
      <c r="A197" s="10" t="inlineStr">
        <is>
          <t>MP0195</t>
        </is>
      </c>
      <c r="B197" s="10" t="inlineStr">
        <is>
          <t>Génération 2013-2019</t>
        </is>
      </c>
      <c r="C197" s="11" t="n">
        <v>2013</v>
      </c>
      <c r="D197" s="13" t="n">
        <v>0.005</v>
      </c>
      <c r="E197" s="11" t="n">
        <v>63</v>
      </c>
      <c r="F197" s="11" t="n">
        <v>12</v>
      </c>
      <c r="G197" s="19" t="n">
        <v>57</v>
      </c>
      <c r="H197" s="20" t="n">
        <v>2.304</v>
      </c>
      <c r="I197" s="13" t="n">
        <v>0.04</v>
      </c>
    </row>
    <row r="198">
      <c r="A198" s="10" t="inlineStr">
        <is>
          <t>MP0196</t>
        </is>
      </c>
      <c r="B198" s="10" t="inlineStr">
        <is>
          <t>Génération 2013-2019</t>
        </is>
      </c>
      <c r="C198" s="11" t="n">
        <v>2018</v>
      </c>
      <c r="D198" s="13" t="n">
        <v>0.005</v>
      </c>
      <c r="E198" s="11" t="n">
        <v>39</v>
      </c>
      <c r="F198" s="11" t="n">
        <v>7</v>
      </c>
      <c r="G198" s="19" t="n">
        <v>308</v>
      </c>
      <c r="H198" s="20" t="n">
        <v>4.764</v>
      </c>
      <c r="I198" s="13" t="n">
        <v>0.0367</v>
      </c>
    </row>
    <row r="199">
      <c r="A199" s="10" t="inlineStr">
        <is>
          <t>MP0197</t>
        </is>
      </c>
      <c r="B199" s="10" t="inlineStr">
        <is>
          <t>Génération 2013-2019</t>
        </is>
      </c>
      <c r="C199" s="11" t="n">
        <v>2016</v>
      </c>
      <c r="D199" s="13" t="n">
        <v>0.005</v>
      </c>
      <c r="E199" s="11" t="n">
        <v>61</v>
      </c>
      <c r="F199" s="11" t="n">
        <v>9</v>
      </c>
      <c r="G199" s="19" t="n">
        <v>69</v>
      </c>
      <c r="H199" s="20" t="n">
        <v>4.101</v>
      </c>
      <c r="I199" s="13" t="n">
        <v>0.0428</v>
      </c>
    </row>
    <row r="200">
      <c r="A200" s="10" t="inlineStr">
        <is>
          <t>MP0198</t>
        </is>
      </c>
      <c r="B200" s="10" t="inlineStr">
        <is>
          <t>Génération 2013-2019</t>
        </is>
      </c>
      <c r="C200" s="11" t="n">
        <v>2015</v>
      </c>
      <c r="D200" s="13" t="n">
        <v>0.005</v>
      </c>
      <c r="E200" s="11" t="n">
        <v>71</v>
      </c>
      <c r="F200" s="11" t="n">
        <v>10</v>
      </c>
      <c r="G200" s="19" t="n">
        <v>21</v>
      </c>
      <c r="H200" s="20" t="n">
        <v>1.53</v>
      </c>
      <c r="I200" s="13" t="n">
        <v>0.0411</v>
      </c>
    </row>
    <row r="201">
      <c r="A201" s="10" t="inlineStr">
        <is>
          <t>MP0199</t>
        </is>
      </c>
      <c r="B201" s="10" t="inlineStr">
        <is>
          <t>Génération 2013-2019</t>
        </is>
      </c>
      <c r="C201" s="11" t="n">
        <v>2014</v>
      </c>
      <c r="D201" s="13" t="n">
        <v>0.005</v>
      </c>
      <c r="E201" s="11" t="n">
        <v>71</v>
      </c>
      <c r="F201" s="11" t="n">
        <v>11</v>
      </c>
      <c r="G201" s="19" t="n">
        <v>13</v>
      </c>
      <c r="H201" s="20" t="n">
        <v>0.629</v>
      </c>
      <c r="I201" s="13" t="n">
        <v>0.0366</v>
      </c>
    </row>
    <row r="202">
      <c r="A202" s="10" t="inlineStr">
        <is>
          <t>MP0200</t>
        </is>
      </c>
      <c r="B202" s="10" t="inlineStr">
        <is>
          <t>Génération 2005-2012</t>
        </is>
      </c>
      <c r="C202" s="11" t="n">
        <v>2007</v>
      </c>
      <c r="D202" s="13" t="n">
        <v>0.015</v>
      </c>
      <c r="E202" s="11" t="n">
        <v>59</v>
      </c>
      <c r="F202" s="11" t="n">
        <v>18</v>
      </c>
      <c r="G202" s="19" t="n">
        <v>30</v>
      </c>
      <c r="H202" s="20" t="n">
        <v>1.899</v>
      </c>
      <c r="I202" s="13" t="n">
        <v>0.0348</v>
      </c>
    </row>
    <row r="203">
      <c r="A203" s="10" t="inlineStr">
        <is>
          <t>MP0201</t>
        </is>
      </c>
      <c r="B203" s="10" t="inlineStr">
        <is>
          <t>Génération 2005-2012</t>
        </is>
      </c>
      <c r="C203" s="11" t="n">
        <v>2009</v>
      </c>
      <c r="D203" s="13" t="n">
        <v>0.015</v>
      </c>
      <c r="E203" s="11" t="n">
        <v>80</v>
      </c>
      <c r="F203" s="11" t="n">
        <v>16</v>
      </c>
      <c r="G203" s="19" t="n">
        <v>35</v>
      </c>
      <c r="H203" s="20" t="n">
        <v>1.187</v>
      </c>
      <c r="I203" s="13" t="n">
        <v>0.041</v>
      </c>
    </row>
    <row r="204">
      <c r="A204" s="10" t="inlineStr">
        <is>
          <t>MP0202</t>
        </is>
      </c>
      <c r="B204" s="10" t="inlineStr">
        <is>
          <t>Génération 2005-2012</t>
        </is>
      </c>
      <c r="C204" s="11" t="n">
        <v>2012</v>
      </c>
      <c r="D204" s="13" t="n">
        <v>0.015</v>
      </c>
      <c r="E204" s="11" t="n">
        <v>70</v>
      </c>
      <c r="F204" s="11" t="n">
        <v>13</v>
      </c>
      <c r="G204" s="19" t="n">
        <v>32</v>
      </c>
      <c r="H204" s="20" t="n">
        <v>1.088</v>
      </c>
      <c r="I204" s="13" t="n">
        <v>0.0347</v>
      </c>
    </row>
    <row r="205">
      <c r="A205" s="10" t="inlineStr">
        <is>
          <t>MP0203</t>
        </is>
      </c>
      <c r="B205" s="10" t="inlineStr">
        <is>
          <t>Génération 2005-2012</t>
        </is>
      </c>
      <c r="C205" s="11" t="n">
        <v>2008</v>
      </c>
      <c r="D205" s="13" t="n">
        <v>0.015</v>
      </c>
      <c r="E205" s="11" t="n">
        <v>63</v>
      </c>
      <c r="F205" s="11" t="n">
        <v>17</v>
      </c>
      <c r="G205" s="19" t="n">
        <v>127</v>
      </c>
      <c r="H205" s="20" t="n">
        <v>3.531</v>
      </c>
      <c r="I205" s="13" t="n">
        <v>0.039</v>
      </c>
    </row>
    <row r="206">
      <c r="A206" s="10" t="inlineStr">
        <is>
          <t>MP0204</t>
        </is>
      </c>
      <c r="B206" s="10" t="inlineStr">
        <is>
          <t>Génération 2005-2012</t>
        </is>
      </c>
      <c r="C206" s="11" t="n">
        <v>2006</v>
      </c>
      <c r="D206" s="13" t="n">
        <v>0.015</v>
      </c>
      <c r="E206" s="11" t="n">
        <v>70</v>
      </c>
      <c r="F206" s="11" t="n">
        <v>19</v>
      </c>
      <c r="G206" s="19" t="n">
        <v>1</v>
      </c>
      <c r="H206" s="20" t="n">
        <v>0.153</v>
      </c>
      <c r="I206" s="13" t="n">
        <v>0.0437</v>
      </c>
    </row>
    <row r="207">
      <c r="A207" s="10" t="inlineStr">
        <is>
          <t>MP0205</t>
        </is>
      </c>
      <c r="B207" s="10" t="inlineStr">
        <is>
          <t>Génération 2005-2012</t>
        </is>
      </c>
      <c r="C207" s="11" t="n">
        <v>2009</v>
      </c>
      <c r="D207" s="13" t="n">
        <v>0.015</v>
      </c>
      <c r="E207" s="11" t="n">
        <v>61</v>
      </c>
      <c r="F207" s="11" t="n">
        <v>16</v>
      </c>
      <c r="G207" s="19" t="n">
        <v>6</v>
      </c>
      <c r="H207" s="20" t="n">
        <v>0.35</v>
      </c>
      <c r="I207" s="13" t="n">
        <v>0.0313</v>
      </c>
    </row>
    <row r="208">
      <c r="A208" s="10" t="inlineStr">
        <is>
          <t>MP0206</t>
        </is>
      </c>
      <c r="B208" s="10" t="inlineStr">
        <is>
          <t>Génération 2005-2012</t>
        </is>
      </c>
      <c r="C208" s="11" t="n">
        <v>2012</v>
      </c>
      <c r="D208" s="13" t="n">
        <v>0.015</v>
      </c>
      <c r="E208" s="11" t="n">
        <v>57</v>
      </c>
      <c r="F208" s="11" t="n">
        <v>13</v>
      </c>
      <c r="G208" s="19" t="n">
        <v>4</v>
      </c>
      <c r="H208" s="20" t="n">
        <v>0.42</v>
      </c>
      <c r="I208" s="13" t="n">
        <v>0.0372</v>
      </c>
    </row>
    <row r="209">
      <c r="A209" s="10" t="inlineStr">
        <is>
          <t>MP0207</t>
        </is>
      </c>
      <c r="B209" s="10" t="inlineStr">
        <is>
          <t>Génération 2005-2012</t>
        </is>
      </c>
      <c r="C209" s="11" t="n">
        <v>2005</v>
      </c>
      <c r="D209" s="13" t="n">
        <v>0.015</v>
      </c>
      <c r="E209" s="11" t="n">
        <v>64</v>
      </c>
      <c r="F209" s="11" t="n">
        <v>20</v>
      </c>
      <c r="G209" s="19" t="n">
        <v>10</v>
      </c>
      <c r="H209" s="20" t="n">
        <v>0.8129999999999999</v>
      </c>
      <c r="I209" s="13" t="n">
        <v>0.022</v>
      </c>
    </row>
    <row r="210">
      <c r="A210" s="10" t="inlineStr">
        <is>
          <t>MP0208</t>
        </is>
      </c>
      <c r="B210" s="10" t="inlineStr">
        <is>
          <t>Génération 2005-2012</t>
        </is>
      </c>
      <c r="C210" s="11" t="n">
        <v>2006</v>
      </c>
      <c r="D210" s="13" t="n">
        <v>0.015</v>
      </c>
      <c r="E210" s="11" t="n">
        <v>72</v>
      </c>
      <c r="F210" s="11" t="n">
        <v>19</v>
      </c>
      <c r="G210" s="19" t="n">
        <v>20</v>
      </c>
      <c r="H210" s="20" t="n">
        <v>0.886</v>
      </c>
      <c r="I210" s="13" t="n">
        <v>0.0365</v>
      </c>
    </row>
    <row r="211">
      <c r="A211" s="10" t="inlineStr">
        <is>
          <t>MP0209</t>
        </is>
      </c>
      <c r="B211" s="10" t="inlineStr">
        <is>
          <t>Génération 2005-2012</t>
        </is>
      </c>
      <c r="C211" s="11" t="n">
        <v>2008</v>
      </c>
      <c r="D211" s="13" t="n">
        <v>0.015</v>
      </c>
      <c r="E211" s="11" t="n">
        <v>52</v>
      </c>
      <c r="F211" s="11" t="n">
        <v>17</v>
      </c>
      <c r="G211" s="19" t="n">
        <v>7</v>
      </c>
      <c r="H211" s="20" t="n">
        <v>0.325</v>
      </c>
      <c r="I211" s="13" t="n">
        <v>0.047</v>
      </c>
    </row>
    <row r="212">
      <c r="A212" s="10" t="inlineStr">
        <is>
          <t>MP0210</t>
        </is>
      </c>
      <c r="B212" s="10" t="inlineStr">
        <is>
          <t>Génération 2005-2012</t>
        </is>
      </c>
      <c r="C212" s="11" t="n">
        <v>2011</v>
      </c>
      <c r="D212" s="13" t="n">
        <v>0.015</v>
      </c>
      <c r="E212" s="11" t="n">
        <v>65</v>
      </c>
      <c r="F212" s="11" t="n">
        <v>14</v>
      </c>
      <c r="G212" s="19" t="n">
        <v>14</v>
      </c>
      <c r="H212" s="20" t="n">
        <v>0.494</v>
      </c>
      <c r="I212" s="13" t="n">
        <v>0.0326</v>
      </c>
    </row>
    <row r="213">
      <c r="A213" s="10" t="inlineStr">
        <is>
          <t>MP0211</t>
        </is>
      </c>
      <c r="B213" s="10" t="inlineStr">
        <is>
          <t>Génération 2005-2012</t>
        </is>
      </c>
      <c r="C213" s="11" t="n">
        <v>2009</v>
      </c>
      <c r="D213" s="13" t="n">
        <v>0.015</v>
      </c>
      <c r="E213" s="11" t="n">
        <v>45</v>
      </c>
      <c r="F213" s="11" t="n">
        <v>16</v>
      </c>
      <c r="G213" s="19" t="n">
        <v>11</v>
      </c>
      <c r="H213" s="20" t="n">
        <v>0.546</v>
      </c>
      <c r="I213" s="13" t="n">
        <v>0.0401</v>
      </c>
    </row>
    <row r="214">
      <c r="A214" s="10" t="inlineStr">
        <is>
          <t>MP0212</t>
        </is>
      </c>
      <c r="B214" s="10" t="inlineStr">
        <is>
          <t>Génération 2005-2012</t>
        </is>
      </c>
      <c r="C214" s="11" t="n">
        <v>2005</v>
      </c>
      <c r="D214" s="13" t="n">
        <v>0.015</v>
      </c>
      <c r="E214" s="11" t="n">
        <v>60</v>
      </c>
      <c r="F214" s="11" t="n">
        <v>20</v>
      </c>
      <c r="G214" s="19" t="n">
        <v>329</v>
      </c>
      <c r="H214" s="20" t="n">
        <v>7.761</v>
      </c>
      <c r="I214" s="13" t="n">
        <v>0.0292</v>
      </c>
    </row>
    <row r="215">
      <c r="A215" s="10" t="inlineStr">
        <is>
          <t>MP0213</t>
        </is>
      </c>
      <c r="B215" s="10" t="inlineStr">
        <is>
          <t>Génération 2005-2012</t>
        </is>
      </c>
      <c r="C215" s="11" t="n">
        <v>2012</v>
      </c>
      <c r="D215" s="13" t="n">
        <v>0.015</v>
      </c>
      <c r="E215" s="11" t="n">
        <v>63</v>
      </c>
      <c r="F215" s="11" t="n">
        <v>13</v>
      </c>
      <c r="G215" s="19" t="n">
        <v>310</v>
      </c>
      <c r="H215" s="20" t="n">
        <v>4.593</v>
      </c>
      <c r="I215" s="13" t="n">
        <v>0.0387</v>
      </c>
    </row>
    <row r="216">
      <c r="A216" s="10" t="inlineStr">
        <is>
          <t>MP0214</t>
        </is>
      </c>
      <c r="B216" s="10" t="inlineStr">
        <is>
          <t>Génération 2005-2012</t>
        </is>
      </c>
      <c r="C216" s="11" t="n">
        <v>2009</v>
      </c>
      <c r="D216" s="13" t="n">
        <v>0.015</v>
      </c>
      <c r="E216" s="11" t="n">
        <v>62</v>
      </c>
      <c r="F216" s="11" t="n">
        <v>16</v>
      </c>
      <c r="G216" s="19" t="n">
        <v>64</v>
      </c>
      <c r="H216" s="20" t="n">
        <v>0.782</v>
      </c>
      <c r="I216" s="13" t="n">
        <v>0.029</v>
      </c>
    </row>
    <row r="217">
      <c r="A217" s="10" t="inlineStr">
        <is>
          <t>MP0215</t>
        </is>
      </c>
      <c r="B217" s="10" t="inlineStr">
        <is>
          <t>Génération 2005-2012</t>
        </is>
      </c>
      <c r="C217" s="11" t="n">
        <v>2008</v>
      </c>
      <c r="D217" s="13" t="n">
        <v>0.015</v>
      </c>
      <c r="E217" s="11" t="n">
        <v>75</v>
      </c>
      <c r="F217" s="11" t="n">
        <v>17</v>
      </c>
      <c r="G217" s="19" t="n">
        <v>77</v>
      </c>
      <c r="H217" s="20" t="n">
        <v>0.8120000000000001</v>
      </c>
      <c r="I217" s="13" t="n">
        <v>0.0329</v>
      </c>
    </row>
    <row r="218">
      <c r="A218" s="10" t="inlineStr">
        <is>
          <t>MP0216</t>
        </is>
      </c>
      <c r="B218" s="10" t="inlineStr">
        <is>
          <t>Génération 2005-2012</t>
        </is>
      </c>
      <c r="C218" s="11" t="n">
        <v>2006</v>
      </c>
      <c r="D218" s="13" t="n">
        <v>0.015</v>
      </c>
      <c r="E218" s="11" t="n">
        <v>72</v>
      </c>
      <c r="F218" s="11" t="n">
        <v>19</v>
      </c>
      <c r="G218" s="19" t="n">
        <v>14</v>
      </c>
      <c r="H218" s="20" t="n">
        <v>0.433</v>
      </c>
      <c r="I218" s="13" t="n">
        <v>0.0374</v>
      </c>
    </row>
    <row r="219">
      <c r="A219" s="10" t="inlineStr">
        <is>
          <t>MP0217</t>
        </is>
      </c>
      <c r="B219" s="10" t="inlineStr">
        <is>
          <t>Génération 2005-2012</t>
        </is>
      </c>
      <c r="C219" s="11" t="n">
        <v>2005</v>
      </c>
      <c r="D219" s="13" t="n">
        <v>0.015</v>
      </c>
      <c r="E219" s="11" t="n">
        <v>71</v>
      </c>
      <c r="F219" s="11" t="n">
        <v>20</v>
      </c>
      <c r="G219" s="19" t="n">
        <v>2</v>
      </c>
      <c r="H219" s="20" t="n">
        <v>0.236</v>
      </c>
      <c r="I219" s="13" t="n">
        <v>0.0338</v>
      </c>
    </row>
    <row r="220">
      <c r="A220" s="10" t="inlineStr">
        <is>
          <t>MP0218</t>
        </is>
      </c>
      <c r="B220" s="10" t="inlineStr">
        <is>
          <t>Génération 2005-2012</t>
        </is>
      </c>
      <c r="C220" s="11" t="n">
        <v>2012</v>
      </c>
      <c r="D220" s="13" t="n">
        <v>0.015</v>
      </c>
      <c r="E220" s="11" t="n">
        <v>49</v>
      </c>
      <c r="F220" s="11" t="n">
        <v>13</v>
      </c>
      <c r="G220" s="19" t="n">
        <v>12</v>
      </c>
      <c r="H220" s="20" t="n">
        <v>0.99</v>
      </c>
      <c r="I220" s="13" t="n">
        <v>0.0304</v>
      </c>
    </row>
    <row r="221">
      <c r="A221" s="10" t="inlineStr">
        <is>
          <t>MP0219</t>
        </is>
      </c>
      <c r="B221" s="10" t="inlineStr">
        <is>
          <t>Génération 2005-2012</t>
        </is>
      </c>
      <c r="C221" s="11" t="n">
        <v>2009</v>
      </c>
      <c r="D221" s="13" t="n">
        <v>0.015</v>
      </c>
      <c r="E221" s="11" t="n">
        <v>59</v>
      </c>
      <c r="F221" s="11" t="n">
        <v>16</v>
      </c>
      <c r="G221" s="19" t="n">
        <v>11</v>
      </c>
      <c r="H221" s="20" t="n">
        <v>0.489</v>
      </c>
      <c r="I221" s="13" t="n">
        <v>0.0256</v>
      </c>
    </row>
    <row r="222">
      <c r="A222" s="10" t="inlineStr">
        <is>
          <t>MP0220</t>
        </is>
      </c>
      <c r="B222" s="10" t="inlineStr">
        <is>
          <t>Génération 2005-2012</t>
        </is>
      </c>
      <c r="C222" s="11" t="n">
        <v>2006</v>
      </c>
      <c r="D222" s="13" t="n">
        <v>0.015</v>
      </c>
      <c r="E222" s="11" t="n">
        <v>74</v>
      </c>
      <c r="F222" s="11" t="n">
        <v>19</v>
      </c>
      <c r="G222" s="19" t="n">
        <v>20</v>
      </c>
      <c r="H222" s="20" t="n">
        <v>1.015</v>
      </c>
      <c r="I222" s="13" t="n">
        <v>0.0255</v>
      </c>
    </row>
    <row r="223">
      <c r="A223" s="10" t="inlineStr">
        <is>
          <t>MP0221</t>
        </is>
      </c>
      <c r="B223" s="10" t="inlineStr">
        <is>
          <t>Génération 2005-2012</t>
        </is>
      </c>
      <c r="C223" s="11" t="n">
        <v>2005</v>
      </c>
      <c r="D223" s="13" t="n">
        <v>0.015</v>
      </c>
      <c r="E223" s="11" t="n">
        <v>64</v>
      </c>
      <c r="F223" s="11" t="n">
        <v>20</v>
      </c>
      <c r="G223" s="19" t="n">
        <v>4</v>
      </c>
      <c r="H223" s="20" t="n">
        <v>0.302</v>
      </c>
      <c r="I223" s="13" t="n">
        <v>0.0237</v>
      </c>
    </row>
    <row r="224">
      <c r="A224" s="10" t="inlineStr">
        <is>
          <t>MP0222</t>
        </is>
      </c>
      <c r="B224" s="10" t="inlineStr">
        <is>
          <t>Génération 2005-2012</t>
        </is>
      </c>
      <c r="C224" s="11" t="n">
        <v>2006</v>
      </c>
      <c r="D224" s="13" t="n">
        <v>0.015</v>
      </c>
      <c r="E224" s="11" t="n">
        <v>73</v>
      </c>
      <c r="F224" s="11" t="n">
        <v>19</v>
      </c>
      <c r="G224" s="19" t="n">
        <v>12</v>
      </c>
      <c r="H224" s="20" t="n">
        <v>0.591</v>
      </c>
      <c r="I224" s="13" t="n">
        <v>0.0375</v>
      </c>
    </row>
    <row r="225">
      <c r="A225" s="10" t="inlineStr">
        <is>
          <t>MP0223</t>
        </is>
      </c>
      <c r="B225" s="10" t="inlineStr">
        <is>
          <t>Génération 2005-2012</t>
        </is>
      </c>
      <c r="C225" s="11" t="n">
        <v>2005</v>
      </c>
      <c r="D225" s="13" t="n">
        <v>0.015</v>
      </c>
      <c r="E225" s="11" t="n">
        <v>82</v>
      </c>
      <c r="F225" s="11" t="n">
        <v>20</v>
      </c>
      <c r="G225" s="19" t="n">
        <v>23</v>
      </c>
      <c r="H225" s="20" t="n">
        <v>1.224</v>
      </c>
      <c r="I225" s="13" t="n">
        <v>0.0389</v>
      </c>
    </row>
    <row r="226">
      <c r="A226" s="10" t="inlineStr">
        <is>
          <t>MP0224</t>
        </is>
      </c>
      <c r="B226" s="10" t="inlineStr">
        <is>
          <t>Génération 2005-2012</t>
        </is>
      </c>
      <c r="C226" s="11" t="n">
        <v>2012</v>
      </c>
      <c r="D226" s="13" t="n">
        <v>0.015</v>
      </c>
      <c r="E226" s="11" t="n">
        <v>61</v>
      </c>
      <c r="F226" s="11" t="n">
        <v>13</v>
      </c>
      <c r="G226" s="19" t="n">
        <v>51</v>
      </c>
      <c r="H226" s="20" t="n">
        <v>1.457</v>
      </c>
      <c r="I226" s="13" t="n">
        <v>0.0376</v>
      </c>
    </row>
    <row r="227">
      <c r="A227" s="10" t="inlineStr">
        <is>
          <t>MP0225</t>
        </is>
      </c>
      <c r="B227" s="10" t="inlineStr">
        <is>
          <t>Génération 2005-2012</t>
        </is>
      </c>
      <c r="C227" s="11" t="n">
        <v>2011</v>
      </c>
      <c r="D227" s="13" t="n">
        <v>0.015</v>
      </c>
      <c r="E227" s="11" t="n">
        <v>67</v>
      </c>
      <c r="F227" s="11" t="n">
        <v>14</v>
      </c>
      <c r="G227" s="19" t="n">
        <v>47</v>
      </c>
      <c r="H227" s="20" t="n">
        <v>1.518</v>
      </c>
      <c r="I227" s="13" t="n">
        <v>0.0288</v>
      </c>
    </row>
    <row r="228">
      <c r="A228" s="10" t="inlineStr">
        <is>
          <t>MP0226</t>
        </is>
      </c>
      <c r="B228" s="10" t="inlineStr">
        <is>
          <t>Génération 2005-2012</t>
        </is>
      </c>
      <c r="C228" s="11" t="n">
        <v>2008</v>
      </c>
      <c r="D228" s="13" t="n">
        <v>0.015</v>
      </c>
      <c r="E228" s="11" t="n">
        <v>67</v>
      </c>
      <c r="F228" s="11" t="n">
        <v>17</v>
      </c>
      <c r="G228" s="19" t="n">
        <v>12</v>
      </c>
      <c r="H228" s="20" t="n">
        <v>0.378</v>
      </c>
      <c r="I228" s="13" t="n">
        <v>0.0405</v>
      </c>
    </row>
    <row r="229">
      <c r="A229" s="10" t="inlineStr">
        <is>
          <t>MP0227</t>
        </is>
      </c>
      <c r="B229" s="10" t="inlineStr">
        <is>
          <t>Génération 2005-2012</t>
        </is>
      </c>
      <c r="C229" s="11" t="n">
        <v>2012</v>
      </c>
      <c r="D229" s="13" t="n">
        <v>0.015</v>
      </c>
      <c r="E229" s="11" t="n">
        <v>62</v>
      </c>
      <c r="F229" s="11" t="n">
        <v>13</v>
      </c>
      <c r="G229" s="19" t="n">
        <v>58</v>
      </c>
      <c r="H229" s="20" t="n">
        <v>2.153</v>
      </c>
      <c r="I229" s="13" t="n">
        <v>0.0384</v>
      </c>
    </row>
    <row r="230">
      <c r="A230" s="10" t="inlineStr">
        <is>
          <t>MP0228</t>
        </is>
      </c>
      <c r="B230" s="10" t="inlineStr">
        <is>
          <t>Génération 2005-2012</t>
        </is>
      </c>
      <c r="C230" s="11" t="n">
        <v>2011</v>
      </c>
      <c r="D230" s="13" t="n">
        <v>0.015</v>
      </c>
      <c r="E230" s="11" t="n">
        <v>66</v>
      </c>
      <c r="F230" s="11" t="n">
        <v>14</v>
      </c>
      <c r="G230" s="19" t="n">
        <v>5</v>
      </c>
      <c r="H230" s="20" t="n">
        <v>0.573</v>
      </c>
      <c r="I230" s="13" t="n">
        <v>0.0378</v>
      </c>
    </row>
    <row r="231">
      <c r="A231" s="10" t="inlineStr">
        <is>
          <t>MP0229</t>
        </is>
      </c>
      <c r="B231" s="10" t="inlineStr">
        <is>
          <t>Génération 2005-2012</t>
        </is>
      </c>
      <c r="C231" s="11" t="n">
        <v>2011</v>
      </c>
      <c r="D231" s="13" t="n">
        <v>0.015</v>
      </c>
      <c r="E231" s="11" t="n">
        <v>60</v>
      </c>
      <c r="F231" s="11" t="n">
        <v>14</v>
      </c>
      <c r="G231" s="19" t="n">
        <v>55</v>
      </c>
      <c r="H231" s="20" t="n">
        <v>1.803</v>
      </c>
      <c r="I231" s="13" t="n">
        <v>0.0325</v>
      </c>
    </row>
    <row r="232">
      <c r="A232" s="10" t="inlineStr">
        <is>
          <t>MP0230</t>
        </is>
      </c>
      <c r="B232" s="10" t="inlineStr">
        <is>
          <t>Génération 2005-2012</t>
        </is>
      </c>
      <c r="C232" s="11" t="n">
        <v>2010</v>
      </c>
      <c r="D232" s="13" t="n">
        <v>0.015</v>
      </c>
      <c r="E232" s="11" t="n">
        <v>60</v>
      </c>
      <c r="F232" s="11" t="n">
        <v>15</v>
      </c>
      <c r="G232" s="19" t="n">
        <v>16</v>
      </c>
      <c r="H232" s="20" t="n">
        <v>1.078</v>
      </c>
      <c r="I232" s="13" t="n">
        <v>0.0246</v>
      </c>
    </row>
    <row r="233">
      <c r="A233" s="10" t="inlineStr">
        <is>
          <t>MP0231</t>
        </is>
      </c>
      <c r="B233" s="10" t="inlineStr">
        <is>
          <t>Génération 2005-2012</t>
        </is>
      </c>
      <c r="C233" s="11" t="n">
        <v>2008</v>
      </c>
      <c r="D233" s="13" t="n">
        <v>0.015</v>
      </c>
      <c r="E233" s="11" t="n">
        <v>72</v>
      </c>
      <c r="F233" s="11" t="n">
        <v>17</v>
      </c>
      <c r="G233" s="19" t="n">
        <v>10</v>
      </c>
      <c r="H233" s="20" t="n">
        <v>0.361</v>
      </c>
      <c r="I233" s="13" t="n">
        <v>0.0373</v>
      </c>
    </row>
    <row r="234">
      <c r="A234" s="10" t="inlineStr">
        <is>
          <t>MP0232</t>
        </is>
      </c>
      <c r="B234" s="10" t="inlineStr">
        <is>
          <t>Génération 2005-2012</t>
        </is>
      </c>
      <c r="C234" s="11" t="n">
        <v>2006</v>
      </c>
      <c r="D234" s="13" t="n">
        <v>0.015</v>
      </c>
      <c r="E234" s="11" t="n">
        <v>77</v>
      </c>
      <c r="F234" s="11" t="n">
        <v>19</v>
      </c>
      <c r="G234" s="19" t="n">
        <v>10</v>
      </c>
      <c r="H234" s="20" t="n">
        <v>0.844</v>
      </c>
      <c r="I234" s="13" t="n">
        <v>0.0408</v>
      </c>
    </row>
    <row r="235">
      <c r="A235" s="10" t="inlineStr">
        <is>
          <t>MP0233</t>
        </is>
      </c>
      <c r="B235" s="10" t="inlineStr">
        <is>
          <t>Génération 2005-2012</t>
        </is>
      </c>
      <c r="C235" s="11" t="n">
        <v>2012</v>
      </c>
      <c r="D235" s="13" t="n">
        <v>0.015</v>
      </c>
      <c r="E235" s="11" t="n">
        <v>49</v>
      </c>
      <c r="F235" s="11" t="n">
        <v>13</v>
      </c>
      <c r="G235" s="19" t="n">
        <v>22</v>
      </c>
      <c r="H235" s="20" t="n">
        <v>1.456</v>
      </c>
      <c r="I235" s="13" t="n">
        <v>0.0374</v>
      </c>
    </row>
    <row r="236">
      <c r="A236" s="10" t="inlineStr">
        <is>
          <t>MP0234</t>
        </is>
      </c>
      <c r="B236" s="10" t="inlineStr">
        <is>
          <t>Génération 2005-2012</t>
        </is>
      </c>
      <c r="C236" s="11" t="n">
        <v>2007</v>
      </c>
      <c r="D236" s="13" t="n">
        <v>0.015</v>
      </c>
      <c r="E236" s="11" t="n">
        <v>64</v>
      </c>
      <c r="F236" s="11" t="n">
        <v>18</v>
      </c>
      <c r="G236" s="19" t="n">
        <v>35</v>
      </c>
      <c r="H236" s="20" t="n">
        <v>1.775</v>
      </c>
      <c r="I236" s="13" t="n">
        <v>0.0383</v>
      </c>
    </row>
    <row r="237">
      <c r="A237" s="10" t="inlineStr">
        <is>
          <t>MP0235</t>
        </is>
      </c>
      <c r="B237" s="10" t="inlineStr">
        <is>
          <t>Génération 2005-2012</t>
        </is>
      </c>
      <c r="C237" s="11" t="n">
        <v>2012</v>
      </c>
      <c r="D237" s="13" t="n">
        <v>0.015</v>
      </c>
      <c r="E237" s="11" t="n">
        <v>64</v>
      </c>
      <c r="F237" s="11" t="n">
        <v>13</v>
      </c>
      <c r="G237" s="19" t="n">
        <v>19</v>
      </c>
      <c r="H237" s="20" t="n">
        <v>0.971</v>
      </c>
      <c r="I237" s="13" t="n">
        <v>0.0438</v>
      </c>
    </row>
    <row r="238">
      <c r="A238" s="10" t="inlineStr">
        <is>
          <t>MP0236</t>
        </is>
      </c>
      <c r="B238" s="10" t="inlineStr">
        <is>
          <t>Génération 2005-2012</t>
        </is>
      </c>
      <c r="C238" s="11" t="n">
        <v>2008</v>
      </c>
      <c r="D238" s="13" t="n">
        <v>0.015</v>
      </c>
      <c r="E238" s="11" t="n">
        <v>38</v>
      </c>
      <c r="F238" s="11" t="n">
        <v>17</v>
      </c>
      <c r="G238" s="19" t="n">
        <v>103</v>
      </c>
      <c r="H238" s="20" t="n">
        <v>3.701</v>
      </c>
      <c r="I238" s="13" t="n">
        <v>0.034</v>
      </c>
    </row>
    <row r="239">
      <c r="A239" s="10" t="inlineStr">
        <is>
          <t>MP0237</t>
        </is>
      </c>
      <c r="B239" s="10" t="inlineStr">
        <is>
          <t>Génération 2005-2012</t>
        </is>
      </c>
      <c r="C239" s="11" t="n">
        <v>2010</v>
      </c>
      <c r="D239" s="13" t="n">
        <v>0.015</v>
      </c>
      <c r="E239" s="11" t="n">
        <v>48</v>
      </c>
      <c r="F239" s="11" t="n">
        <v>15</v>
      </c>
      <c r="G239" s="19" t="n">
        <v>55</v>
      </c>
      <c r="H239" s="20" t="n">
        <v>2.433</v>
      </c>
      <c r="I239" s="13" t="n">
        <v>0.0425</v>
      </c>
    </row>
    <row r="240">
      <c r="A240" s="10" t="inlineStr">
        <is>
          <t>MP0238</t>
        </is>
      </c>
      <c r="B240" s="10" t="inlineStr">
        <is>
          <t>Génération 2005-2012</t>
        </is>
      </c>
      <c r="C240" s="11" t="n">
        <v>2010</v>
      </c>
      <c r="D240" s="13" t="n">
        <v>0.015</v>
      </c>
      <c r="E240" s="11" t="n">
        <v>67</v>
      </c>
      <c r="F240" s="11" t="n">
        <v>15</v>
      </c>
      <c r="G240" s="19" t="n">
        <v>33</v>
      </c>
      <c r="H240" s="20" t="n">
        <v>0.885</v>
      </c>
      <c r="I240" s="13" t="n">
        <v>0.031</v>
      </c>
    </row>
    <row r="241">
      <c r="A241" s="10" t="inlineStr">
        <is>
          <t>MP0239</t>
        </is>
      </c>
      <c r="B241" s="10" t="inlineStr">
        <is>
          <t>Génération 2005-2012</t>
        </is>
      </c>
      <c r="C241" s="11" t="n">
        <v>2005</v>
      </c>
      <c r="D241" s="13" t="n">
        <v>0.015</v>
      </c>
      <c r="E241" s="11" t="n">
        <v>79</v>
      </c>
      <c r="F241" s="11" t="n">
        <v>20</v>
      </c>
      <c r="G241" s="19" t="n">
        <v>61</v>
      </c>
      <c r="H241" s="20" t="n">
        <v>1.98</v>
      </c>
      <c r="I241" s="13" t="n">
        <v>0.0378</v>
      </c>
    </row>
    <row r="242">
      <c r="A242" s="10" t="inlineStr">
        <is>
          <t>MP0240</t>
        </is>
      </c>
      <c r="B242" s="10" t="inlineStr">
        <is>
          <t>Génération 2005-2012</t>
        </is>
      </c>
      <c r="C242" s="11" t="n">
        <v>2011</v>
      </c>
      <c r="D242" s="13" t="n">
        <v>0.015</v>
      </c>
      <c r="E242" s="11" t="n">
        <v>80</v>
      </c>
      <c r="F242" s="11" t="n">
        <v>14</v>
      </c>
      <c r="G242" s="19" t="n">
        <v>89</v>
      </c>
      <c r="H242" s="20" t="n">
        <v>5.105</v>
      </c>
      <c r="I242" s="13" t="n">
        <v>0.0339</v>
      </c>
    </row>
    <row r="243">
      <c r="A243" s="10" t="inlineStr">
        <is>
          <t>MP0241</t>
        </is>
      </c>
      <c r="B243" s="10" t="inlineStr">
        <is>
          <t>Génération 2005-2012</t>
        </is>
      </c>
      <c r="C243" s="11" t="n">
        <v>2006</v>
      </c>
      <c r="D243" s="13" t="n">
        <v>0.015</v>
      </c>
      <c r="E243" s="11" t="n">
        <v>70</v>
      </c>
      <c r="F243" s="11" t="n">
        <v>19</v>
      </c>
      <c r="G243" s="19" t="n">
        <v>251</v>
      </c>
      <c r="H243" s="20" t="n">
        <v>5.215</v>
      </c>
      <c r="I243" s="13" t="n">
        <v>0.0421</v>
      </c>
    </row>
    <row r="244">
      <c r="A244" s="10" t="inlineStr">
        <is>
          <t>MP0242</t>
        </is>
      </c>
      <c r="B244" s="10" t="inlineStr">
        <is>
          <t>Génération 2005-2012</t>
        </is>
      </c>
      <c r="C244" s="11" t="n">
        <v>2009</v>
      </c>
      <c r="D244" s="13" t="n">
        <v>0.015</v>
      </c>
      <c r="E244" s="11" t="n">
        <v>62</v>
      </c>
      <c r="F244" s="11" t="n">
        <v>16</v>
      </c>
      <c r="G244" s="19" t="n">
        <v>12</v>
      </c>
      <c r="H244" s="20" t="n">
        <v>0.407</v>
      </c>
      <c r="I244" s="13" t="n">
        <v>0.0315</v>
      </c>
    </row>
    <row r="245">
      <c r="A245" s="10" t="inlineStr">
        <is>
          <t>MP0243</t>
        </is>
      </c>
      <c r="B245" s="10" t="inlineStr">
        <is>
          <t>Génération 2005-2012</t>
        </is>
      </c>
      <c r="C245" s="11" t="n">
        <v>2005</v>
      </c>
      <c r="D245" s="13" t="n">
        <v>0.015</v>
      </c>
      <c r="E245" s="11" t="n">
        <v>72</v>
      </c>
      <c r="F245" s="11" t="n">
        <v>20</v>
      </c>
      <c r="G245" s="19" t="n">
        <v>10</v>
      </c>
      <c r="H245" s="20" t="n">
        <v>0.518</v>
      </c>
      <c r="I245" s="13" t="n">
        <v>0.0389</v>
      </c>
    </row>
    <row r="246">
      <c r="A246" s="10" t="inlineStr">
        <is>
          <t>MP0244</t>
        </is>
      </c>
      <c r="B246" s="10" t="inlineStr">
        <is>
          <t>Génération 2005-2012</t>
        </is>
      </c>
      <c r="C246" s="11" t="n">
        <v>2010</v>
      </c>
      <c r="D246" s="13" t="n">
        <v>0.015</v>
      </c>
      <c r="E246" s="11" t="n">
        <v>68</v>
      </c>
      <c r="F246" s="11" t="n">
        <v>15</v>
      </c>
      <c r="G246" s="19" t="n">
        <v>104</v>
      </c>
      <c r="H246" s="20" t="n">
        <v>3.565</v>
      </c>
      <c r="I246" s="13" t="n">
        <v>0.0484</v>
      </c>
    </row>
    <row r="247">
      <c r="A247" s="10" t="inlineStr">
        <is>
          <t>MP0245</t>
        </is>
      </c>
      <c r="B247" s="10" t="inlineStr">
        <is>
          <t>Génération 2005-2012</t>
        </is>
      </c>
      <c r="C247" s="11" t="n">
        <v>2010</v>
      </c>
      <c r="D247" s="13" t="n">
        <v>0.015</v>
      </c>
      <c r="E247" s="11" t="n">
        <v>49</v>
      </c>
      <c r="F247" s="11" t="n">
        <v>15</v>
      </c>
      <c r="G247" s="19" t="n">
        <v>5</v>
      </c>
      <c r="H247" s="20" t="n">
        <v>0.466</v>
      </c>
      <c r="I247" s="13" t="n">
        <v>0.0432</v>
      </c>
    </row>
    <row r="248">
      <c r="A248" s="10" t="inlineStr">
        <is>
          <t>MP0246</t>
        </is>
      </c>
      <c r="B248" s="10" t="inlineStr">
        <is>
          <t>Génération 2005-2012</t>
        </is>
      </c>
      <c r="C248" s="11" t="n">
        <v>2005</v>
      </c>
      <c r="D248" s="13" t="n">
        <v>0.015</v>
      </c>
      <c r="E248" s="11" t="n">
        <v>86</v>
      </c>
      <c r="F248" s="11" t="n">
        <v>20</v>
      </c>
      <c r="G248" s="19" t="n">
        <v>5</v>
      </c>
      <c r="H248" s="20" t="n">
        <v>0.377</v>
      </c>
      <c r="I248" s="13" t="n">
        <v>0.0408</v>
      </c>
    </row>
    <row r="249">
      <c r="A249" s="10" t="inlineStr">
        <is>
          <t>MP0247</t>
        </is>
      </c>
      <c r="B249" s="10" t="inlineStr">
        <is>
          <t>Génération 2005-2012</t>
        </is>
      </c>
      <c r="C249" s="11" t="n">
        <v>2005</v>
      </c>
      <c r="D249" s="13" t="n">
        <v>0.015</v>
      </c>
      <c r="E249" s="11" t="n">
        <v>66</v>
      </c>
      <c r="F249" s="11" t="n">
        <v>20</v>
      </c>
      <c r="G249" s="19" t="n">
        <v>19</v>
      </c>
      <c r="H249" s="20" t="n">
        <v>0.737</v>
      </c>
      <c r="I249" s="13" t="n">
        <v>0.0337</v>
      </c>
    </row>
    <row r="250">
      <c r="A250" s="10" t="inlineStr">
        <is>
          <t>MP0248</t>
        </is>
      </c>
      <c r="B250" s="10" t="inlineStr">
        <is>
          <t>Génération 2005-2012</t>
        </is>
      </c>
      <c r="C250" s="11" t="n">
        <v>2008</v>
      </c>
      <c r="D250" s="13" t="n">
        <v>0.015</v>
      </c>
      <c r="E250" s="11" t="n">
        <v>77</v>
      </c>
      <c r="F250" s="11" t="n">
        <v>17</v>
      </c>
      <c r="G250" s="19" t="n">
        <v>33</v>
      </c>
      <c r="H250" s="20" t="n">
        <v>1.521</v>
      </c>
      <c r="I250" s="13" t="n">
        <v>0.0295</v>
      </c>
    </row>
    <row r="251">
      <c r="A251" s="10" t="inlineStr">
        <is>
          <t>MP0249</t>
        </is>
      </c>
      <c r="B251" s="10" t="inlineStr">
        <is>
          <t>Génération 2005-2012</t>
        </is>
      </c>
      <c r="C251" s="11" t="n">
        <v>2006</v>
      </c>
      <c r="D251" s="13" t="n">
        <v>0.015</v>
      </c>
      <c r="E251" s="11" t="n">
        <v>73</v>
      </c>
      <c r="F251" s="11" t="n">
        <v>19</v>
      </c>
      <c r="G251" s="19" t="n">
        <v>15</v>
      </c>
      <c r="H251" s="20" t="n">
        <v>1.001</v>
      </c>
      <c r="I251" s="13" t="n">
        <v>0.0389</v>
      </c>
    </row>
    <row r="252">
      <c r="A252" s="10" t="inlineStr">
        <is>
          <t>MP0250</t>
        </is>
      </c>
      <c r="B252" s="10" t="inlineStr">
        <is>
          <t>Génération 2005-2012</t>
        </is>
      </c>
      <c r="C252" s="11" t="n">
        <v>2012</v>
      </c>
      <c r="D252" s="13" t="n">
        <v>0.015</v>
      </c>
      <c r="E252" s="11" t="n">
        <v>60</v>
      </c>
      <c r="F252" s="11" t="n">
        <v>13</v>
      </c>
      <c r="G252" s="19" t="n">
        <v>24</v>
      </c>
      <c r="H252" s="20" t="n">
        <v>0.646</v>
      </c>
      <c r="I252" s="13" t="n">
        <v>0.0298</v>
      </c>
    </row>
    <row r="253">
      <c r="A253" s="10" t="inlineStr">
        <is>
          <t>MP0251</t>
        </is>
      </c>
      <c r="B253" s="10" t="inlineStr">
        <is>
          <t>Génération 2005-2012</t>
        </is>
      </c>
      <c r="C253" s="11" t="n">
        <v>2006</v>
      </c>
      <c r="D253" s="13" t="n">
        <v>0.015</v>
      </c>
      <c r="E253" s="11" t="n">
        <v>50</v>
      </c>
      <c r="F253" s="11" t="n">
        <v>19</v>
      </c>
      <c r="G253" s="19" t="n">
        <v>13</v>
      </c>
      <c r="H253" s="20" t="n">
        <v>0.634</v>
      </c>
      <c r="I253" s="13" t="n">
        <v>0.0345</v>
      </c>
    </row>
    <row r="254">
      <c r="A254" s="10" t="inlineStr">
        <is>
          <t>MP0252</t>
        </is>
      </c>
      <c r="B254" s="10" t="inlineStr">
        <is>
          <t>Génération 2005-2012</t>
        </is>
      </c>
      <c r="C254" s="11" t="n">
        <v>2012</v>
      </c>
      <c r="D254" s="13" t="n">
        <v>0.015</v>
      </c>
      <c r="E254" s="11" t="n">
        <v>36</v>
      </c>
      <c r="F254" s="11" t="n">
        <v>13</v>
      </c>
      <c r="G254" s="19" t="n">
        <v>27</v>
      </c>
      <c r="H254" s="20" t="n">
        <v>0.615</v>
      </c>
      <c r="I254" s="13" t="n">
        <v>0.0417</v>
      </c>
    </row>
    <row r="255">
      <c r="A255" s="10" t="inlineStr">
        <is>
          <t>MP0253</t>
        </is>
      </c>
      <c r="B255" s="10" t="inlineStr">
        <is>
          <t>Génération 2005-2012</t>
        </is>
      </c>
      <c r="C255" s="11" t="n">
        <v>2008</v>
      </c>
      <c r="D255" s="13" t="n">
        <v>0.015</v>
      </c>
      <c r="E255" s="11" t="n">
        <v>58</v>
      </c>
      <c r="F255" s="11" t="n">
        <v>17</v>
      </c>
      <c r="G255" s="19" t="n">
        <v>10</v>
      </c>
      <c r="H255" s="20" t="n">
        <v>0.538</v>
      </c>
      <c r="I255" s="13" t="n">
        <v>0.0267</v>
      </c>
    </row>
    <row r="256">
      <c r="A256" s="10" t="inlineStr">
        <is>
          <t>MP0254</t>
        </is>
      </c>
      <c r="B256" s="10" t="inlineStr">
        <is>
          <t>Génération 2005-2012</t>
        </is>
      </c>
      <c r="C256" s="11" t="n">
        <v>2006</v>
      </c>
      <c r="D256" s="13" t="n">
        <v>0.015</v>
      </c>
      <c r="E256" s="11" t="n">
        <v>64</v>
      </c>
      <c r="F256" s="11" t="n">
        <v>19</v>
      </c>
      <c r="G256" s="19" t="n">
        <v>138</v>
      </c>
      <c r="H256" s="20" t="n">
        <v>6.743</v>
      </c>
      <c r="I256" s="13" t="n">
        <v>0.049</v>
      </c>
    </row>
    <row r="257">
      <c r="A257" s="10" t="inlineStr">
        <is>
          <t>MP0255</t>
        </is>
      </c>
      <c r="B257" s="10" t="inlineStr">
        <is>
          <t>Génération 2005-2012</t>
        </is>
      </c>
      <c r="C257" s="11" t="n">
        <v>2006</v>
      </c>
      <c r="D257" s="13" t="n">
        <v>0.015</v>
      </c>
      <c r="E257" s="11" t="n">
        <v>79</v>
      </c>
      <c r="F257" s="11" t="n">
        <v>19</v>
      </c>
      <c r="G257" s="19" t="n">
        <v>38</v>
      </c>
      <c r="H257" s="20" t="n">
        <v>1.379</v>
      </c>
      <c r="I257" s="13" t="n">
        <v>0.0314</v>
      </c>
    </row>
    <row r="258">
      <c r="A258" s="10" t="inlineStr">
        <is>
          <t>MP0256</t>
        </is>
      </c>
      <c r="B258" s="10" t="inlineStr">
        <is>
          <t>Génération 2005-2012</t>
        </is>
      </c>
      <c r="C258" s="11" t="n">
        <v>2010</v>
      </c>
      <c r="D258" s="13" t="n">
        <v>0.015</v>
      </c>
      <c r="E258" s="11" t="n">
        <v>68</v>
      </c>
      <c r="F258" s="11" t="n">
        <v>15</v>
      </c>
      <c r="G258" s="19" t="n">
        <v>55</v>
      </c>
      <c r="H258" s="20" t="n">
        <v>2.209</v>
      </c>
      <c r="I258" s="13" t="n">
        <v>0.0326</v>
      </c>
    </row>
    <row r="259">
      <c r="A259" s="10" t="inlineStr">
        <is>
          <t>MP0257</t>
        </is>
      </c>
      <c r="B259" s="10" t="inlineStr">
        <is>
          <t>Génération 2005-2012</t>
        </is>
      </c>
      <c r="C259" s="11" t="n">
        <v>2005</v>
      </c>
      <c r="D259" s="13" t="n">
        <v>0.015</v>
      </c>
      <c r="E259" s="11" t="n">
        <v>79</v>
      </c>
      <c r="F259" s="11" t="n">
        <v>20</v>
      </c>
      <c r="G259" s="19" t="n">
        <v>18</v>
      </c>
      <c r="H259" s="20" t="n">
        <v>0.735</v>
      </c>
      <c r="I259" s="13" t="n">
        <v>0.0488</v>
      </c>
    </row>
    <row r="260">
      <c r="A260" s="10" t="inlineStr">
        <is>
          <t>MP0258</t>
        </is>
      </c>
      <c r="B260" s="10" t="inlineStr">
        <is>
          <t>Génération 2005-2012</t>
        </is>
      </c>
      <c r="C260" s="11" t="n">
        <v>2011</v>
      </c>
      <c r="D260" s="13" t="n">
        <v>0.015</v>
      </c>
      <c r="E260" s="11" t="n">
        <v>79</v>
      </c>
      <c r="F260" s="11" t="n">
        <v>14</v>
      </c>
      <c r="G260" s="19" t="n">
        <v>18</v>
      </c>
      <c r="H260" s="20" t="n">
        <v>0.9370000000000001</v>
      </c>
      <c r="I260" s="13" t="n">
        <v>0.0408</v>
      </c>
    </row>
    <row r="261">
      <c r="A261" s="10" t="inlineStr">
        <is>
          <t>MP0259</t>
        </is>
      </c>
      <c r="B261" s="10" t="inlineStr">
        <is>
          <t>Génération 2005-2012</t>
        </is>
      </c>
      <c r="C261" s="11" t="n">
        <v>2010</v>
      </c>
      <c r="D261" s="13" t="n">
        <v>0.015</v>
      </c>
      <c r="E261" s="11" t="n">
        <v>57</v>
      </c>
      <c r="F261" s="11" t="n">
        <v>15</v>
      </c>
      <c r="G261" s="19" t="n">
        <v>22</v>
      </c>
      <c r="H261" s="20" t="n">
        <v>0.614</v>
      </c>
      <c r="I261" s="13" t="n">
        <v>0.0378</v>
      </c>
    </row>
    <row r="262">
      <c r="A262" s="10" t="inlineStr">
        <is>
          <t>MP0260</t>
        </is>
      </c>
      <c r="B262" s="10" t="inlineStr">
        <is>
          <t>Génération 2005-2012</t>
        </is>
      </c>
      <c r="C262" s="11" t="n">
        <v>2010</v>
      </c>
      <c r="D262" s="13" t="n">
        <v>0.015</v>
      </c>
      <c r="E262" s="11" t="n">
        <v>64</v>
      </c>
      <c r="F262" s="11" t="n">
        <v>15</v>
      </c>
      <c r="G262" s="19" t="n">
        <v>5</v>
      </c>
      <c r="H262" s="20" t="n">
        <v>0.13</v>
      </c>
      <c r="I262" s="13" t="n">
        <v>0.0268</v>
      </c>
    </row>
    <row r="263">
      <c r="A263" s="10" t="inlineStr">
        <is>
          <t>MP0261</t>
        </is>
      </c>
      <c r="B263" s="10" t="inlineStr">
        <is>
          <t>Génération 2005-2012</t>
        </is>
      </c>
      <c r="C263" s="11" t="n">
        <v>2011</v>
      </c>
      <c r="D263" s="13" t="n">
        <v>0.015</v>
      </c>
      <c r="E263" s="11" t="n">
        <v>50</v>
      </c>
      <c r="F263" s="11" t="n">
        <v>14</v>
      </c>
      <c r="G263" s="19" t="n">
        <v>20</v>
      </c>
      <c r="H263" s="20" t="n">
        <v>0.361</v>
      </c>
      <c r="I263" s="13" t="n">
        <v>0.0357</v>
      </c>
    </row>
    <row r="264">
      <c r="A264" s="10" t="inlineStr">
        <is>
          <t>MP0262</t>
        </is>
      </c>
      <c r="B264" s="10" t="inlineStr">
        <is>
          <t>Génération 2005-2012</t>
        </is>
      </c>
      <c r="C264" s="11" t="n">
        <v>2008</v>
      </c>
      <c r="D264" s="13" t="n">
        <v>0.015</v>
      </c>
      <c r="E264" s="11" t="n">
        <v>64</v>
      </c>
      <c r="F264" s="11" t="n">
        <v>17</v>
      </c>
      <c r="G264" s="19" t="n">
        <v>18</v>
      </c>
      <c r="H264" s="20" t="n">
        <v>0.255</v>
      </c>
      <c r="I264" s="13" t="n">
        <v>0.0339</v>
      </c>
    </row>
    <row r="265">
      <c r="A265" s="10" t="inlineStr">
        <is>
          <t>MP0263</t>
        </is>
      </c>
      <c r="B265" s="10" t="inlineStr">
        <is>
          <t>Génération 2005-2012</t>
        </is>
      </c>
      <c r="C265" s="11" t="n">
        <v>2006</v>
      </c>
      <c r="D265" s="13" t="n">
        <v>0.015</v>
      </c>
      <c r="E265" s="11" t="n">
        <v>64</v>
      </c>
      <c r="F265" s="11" t="n">
        <v>19</v>
      </c>
      <c r="G265" s="19" t="n">
        <v>1</v>
      </c>
      <c r="H265" s="20" t="n">
        <v>0.18</v>
      </c>
      <c r="I265" s="13" t="n">
        <v>0.0263</v>
      </c>
    </row>
    <row r="266">
      <c r="A266" s="10" t="inlineStr">
        <is>
          <t>MP0264</t>
        </is>
      </c>
      <c r="B266" s="10" t="inlineStr">
        <is>
          <t>Génération 2005-2012</t>
        </is>
      </c>
      <c r="C266" s="11" t="n">
        <v>2011</v>
      </c>
      <c r="D266" s="13" t="n">
        <v>0.015</v>
      </c>
      <c r="E266" s="11" t="n">
        <v>78</v>
      </c>
      <c r="F266" s="11" t="n">
        <v>14</v>
      </c>
      <c r="G266" s="19" t="n">
        <v>7</v>
      </c>
      <c r="H266" s="20" t="n">
        <v>0.418</v>
      </c>
      <c r="I266" s="13" t="n">
        <v>0.0384</v>
      </c>
    </row>
    <row r="267">
      <c r="A267" s="10" t="inlineStr">
        <is>
          <t>MP0265</t>
        </is>
      </c>
      <c r="B267" s="10" t="inlineStr">
        <is>
          <t>Génération 2005-2012</t>
        </is>
      </c>
      <c r="C267" s="11" t="n">
        <v>2006</v>
      </c>
      <c r="D267" s="13" t="n">
        <v>0.015</v>
      </c>
      <c r="E267" s="11" t="n">
        <v>66</v>
      </c>
      <c r="F267" s="11" t="n">
        <v>19</v>
      </c>
      <c r="G267" s="19" t="n">
        <v>63</v>
      </c>
      <c r="H267" s="20" t="n">
        <v>3.137</v>
      </c>
      <c r="I267" s="13" t="n">
        <v>0.0397</v>
      </c>
    </row>
    <row r="268">
      <c r="A268" s="10" t="inlineStr">
        <is>
          <t>MP0266</t>
        </is>
      </c>
      <c r="B268" s="10" t="inlineStr">
        <is>
          <t>Génération 2005-2012</t>
        </is>
      </c>
      <c r="C268" s="11" t="n">
        <v>2011</v>
      </c>
      <c r="D268" s="13" t="n">
        <v>0.015</v>
      </c>
      <c r="E268" s="11" t="n">
        <v>71</v>
      </c>
      <c r="F268" s="11" t="n">
        <v>14</v>
      </c>
      <c r="G268" s="19" t="n">
        <v>49</v>
      </c>
      <c r="H268" s="20" t="n">
        <v>1.049</v>
      </c>
      <c r="I268" s="13" t="n">
        <v>0.037</v>
      </c>
    </row>
    <row r="269">
      <c r="A269" s="10" t="inlineStr">
        <is>
          <t>MP0267</t>
        </is>
      </c>
      <c r="B269" s="10" t="inlineStr">
        <is>
          <t>Génération 2005-2012</t>
        </is>
      </c>
      <c r="C269" s="11" t="n">
        <v>2006</v>
      </c>
      <c r="D269" s="13" t="n">
        <v>0.015</v>
      </c>
      <c r="E269" s="11" t="n">
        <v>67</v>
      </c>
      <c r="F269" s="11" t="n">
        <v>19</v>
      </c>
      <c r="G269" s="19" t="n">
        <v>98</v>
      </c>
      <c r="H269" s="20" t="n">
        <v>3.052</v>
      </c>
      <c r="I269" s="13" t="n">
        <v>0.0349</v>
      </c>
    </row>
    <row r="270">
      <c r="A270" s="10" t="inlineStr">
        <is>
          <t>MP0268</t>
        </is>
      </c>
      <c r="B270" s="10" t="inlineStr">
        <is>
          <t>Génération 2005-2012</t>
        </is>
      </c>
      <c r="C270" s="11" t="n">
        <v>2010</v>
      </c>
      <c r="D270" s="13" t="n">
        <v>0.015</v>
      </c>
      <c r="E270" s="11" t="n">
        <v>54</v>
      </c>
      <c r="F270" s="11" t="n">
        <v>15</v>
      </c>
      <c r="G270" s="19" t="n">
        <v>42</v>
      </c>
      <c r="H270" s="20" t="n">
        <v>1.51</v>
      </c>
      <c r="I270" s="13" t="n">
        <v>0.0284</v>
      </c>
    </row>
    <row r="271">
      <c r="A271" s="10" t="inlineStr">
        <is>
          <t>MP0269</t>
        </is>
      </c>
      <c r="B271" s="10" t="inlineStr">
        <is>
          <t>Génération 2005-2012</t>
        </is>
      </c>
      <c r="C271" s="11" t="n">
        <v>2009</v>
      </c>
      <c r="D271" s="13" t="n">
        <v>0.015</v>
      </c>
      <c r="E271" s="11" t="n">
        <v>67</v>
      </c>
      <c r="F271" s="11" t="n">
        <v>16</v>
      </c>
      <c r="G271" s="19" t="n">
        <v>86</v>
      </c>
      <c r="H271" s="20" t="n">
        <v>2.032</v>
      </c>
      <c r="I271" s="13" t="n">
        <v>0.0393</v>
      </c>
    </row>
    <row r="272">
      <c r="A272" s="10" t="inlineStr">
        <is>
          <t>MP0270</t>
        </is>
      </c>
      <c r="B272" s="10" t="inlineStr">
        <is>
          <t>Génération 2005-2012</t>
        </is>
      </c>
      <c r="C272" s="11" t="n">
        <v>2006</v>
      </c>
      <c r="D272" s="13" t="n">
        <v>0.015</v>
      </c>
      <c r="E272" s="11" t="n">
        <v>60</v>
      </c>
      <c r="F272" s="11" t="n">
        <v>19</v>
      </c>
      <c r="G272" s="19" t="n">
        <v>17</v>
      </c>
      <c r="H272" s="20" t="n">
        <v>0.529</v>
      </c>
      <c r="I272" s="13" t="n">
        <v>0.043</v>
      </c>
    </row>
    <row r="273">
      <c r="A273" s="10" t="inlineStr">
        <is>
          <t>MP0271</t>
        </is>
      </c>
      <c r="B273" s="10" t="inlineStr">
        <is>
          <t>Génération 2005-2012</t>
        </is>
      </c>
      <c r="C273" s="11" t="n">
        <v>2008</v>
      </c>
      <c r="D273" s="13" t="n">
        <v>0.015</v>
      </c>
      <c r="E273" s="11" t="n">
        <v>67</v>
      </c>
      <c r="F273" s="11" t="n">
        <v>17</v>
      </c>
      <c r="G273" s="19" t="n">
        <v>43</v>
      </c>
      <c r="H273" s="20" t="n">
        <v>1.653</v>
      </c>
      <c r="I273" s="13" t="n">
        <v>0.038</v>
      </c>
    </row>
    <row r="274">
      <c r="A274" s="10" t="inlineStr">
        <is>
          <t>MP0272</t>
        </is>
      </c>
      <c r="B274" s="10" t="inlineStr">
        <is>
          <t>Génération 2005-2012</t>
        </is>
      </c>
      <c r="C274" s="11" t="n">
        <v>2010</v>
      </c>
      <c r="D274" s="13" t="n">
        <v>0.015</v>
      </c>
      <c r="E274" s="11" t="n">
        <v>63</v>
      </c>
      <c r="F274" s="11" t="n">
        <v>15</v>
      </c>
      <c r="G274" s="19" t="n">
        <v>17</v>
      </c>
      <c r="H274" s="20" t="n">
        <v>1.947</v>
      </c>
      <c r="I274" s="13" t="n">
        <v>0.0358</v>
      </c>
    </row>
    <row r="275">
      <c r="A275" s="10" t="inlineStr">
        <is>
          <t>MP0273</t>
        </is>
      </c>
      <c r="B275" s="10" t="inlineStr">
        <is>
          <t>Génération 2005-2012</t>
        </is>
      </c>
      <c r="C275" s="11" t="n">
        <v>2006</v>
      </c>
      <c r="D275" s="13" t="n">
        <v>0.015</v>
      </c>
      <c r="E275" s="11" t="n">
        <v>66</v>
      </c>
      <c r="F275" s="11" t="n">
        <v>19</v>
      </c>
      <c r="G275" s="19" t="n">
        <v>12</v>
      </c>
      <c r="H275" s="20" t="n">
        <v>0.6850000000000001</v>
      </c>
      <c r="I275" s="13" t="n">
        <v>0.0404</v>
      </c>
    </row>
    <row r="276">
      <c r="A276" s="10" t="inlineStr">
        <is>
          <t>MP0274</t>
        </is>
      </c>
      <c r="B276" s="10" t="inlineStr">
        <is>
          <t>Génération 2005-2012</t>
        </is>
      </c>
      <c r="C276" s="11" t="n">
        <v>2011</v>
      </c>
      <c r="D276" s="13" t="n">
        <v>0.015</v>
      </c>
      <c r="E276" s="11" t="n">
        <v>48</v>
      </c>
      <c r="F276" s="11" t="n">
        <v>14</v>
      </c>
      <c r="G276" s="19" t="n">
        <v>36</v>
      </c>
      <c r="H276" s="20" t="n">
        <v>1.7</v>
      </c>
      <c r="I276" s="13" t="n">
        <v>0.0307</v>
      </c>
    </row>
    <row r="277">
      <c r="A277" s="10" t="inlineStr">
        <is>
          <t>MP0275</t>
        </is>
      </c>
      <c r="B277" s="10" t="inlineStr">
        <is>
          <t>Génération 2005-2012</t>
        </is>
      </c>
      <c r="C277" s="11" t="n">
        <v>2007</v>
      </c>
      <c r="D277" s="13" t="n">
        <v>0.015</v>
      </c>
      <c r="E277" s="11" t="n">
        <v>77</v>
      </c>
      <c r="F277" s="11" t="n">
        <v>18</v>
      </c>
      <c r="G277" s="19" t="n">
        <v>47</v>
      </c>
      <c r="H277" s="20" t="n">
        <v>1.709</v>
      </c>
      <c r="I277" s="13" t="n">
        <v>0.0234</v>
      </c>
    </row>
    <row r="278">
      <c r="A278" s="10" t="inlineStr">
        <is>
          <t>MP0276</t>
        </is>
      </c>
      <c r="B278" s="10" t="inlineStr">
        <is>
          <t>Génération 2005-2012</t>
        </is>
      </c>
      <c r="C278" s="11" t="n">
        <v>2009</v>
      </c>
      <c r="D278" s="13" t="n">
        <v>0.015</v>
      </c>
      <c r="E278" s="11" t="n">
        <v>39</v>
      </c>
      <c r="F278" s="11" t="n">
        <v>16</v>
      </c>
      <c r="G278" s="19" t="n">
        <v>18</v>
      </c>
      <c r="H278" s="20" t="n">
        <v>0.7</v>
      </c>
      <c r="I278" s="13" t="n">
        <v>0.0339</v>
      </c>
    </row>
    <row r="279">
      <c r="A279" s="10" t="inlineStr">
        <is>
          <t>MP0277</t>
        </is>
      </c>
      <c r="B279" s="10" t="inlineStr">
        <is>
          <t>Génération 2005-2012</t>
        </is>
      </c>
      <c r="C279" s="11" t="n">
        <v>2012</v>
      </c>
      <c r="D279" s="13" t="n">
        <v>0.015</v>
      </c>
      <c r="E279" s="11" t="n">
        <v>59</v>
      </c>
      <c r="F279" s="11" t="n">
        <v>13</v>
      </c>
      <c r="G279" s="19" t="n">
        <v>6</v>
      </c>
      <c r="H279" s="20" t="n">
        <v>0.443</v>
      </c>
      <c r="I279" s="13" t="n">
        <v>0.0422</v>
      </c>
    </row>
    <row r="280">
      <c r="A280" s="10" t="inlineStr">
        <is>
          <t>MP0278</t>
        </is>
      </c>
      <c r="B280" s="10" t="inlineStr">
        <is>
          <t>Génération 2005-2012</t>
        </is>
      </c>
      <c r="C280" s="11" t="n">
        <v>2010</v>
      </c>
      <c r="D280" s="13" t="n">
        <v>0.015</v>
      </c>
      <c r="E280" s="11" t="n">
        <v>44</v>
      </c>
      <c r="F280" s="11" t="n">
        <v>15</v>
      </c>
      <c r="G280" s="19" t="n">
        <v>7</v>
      </c>
      <c r="H280" s="20" t="n">
        <v>0.421</v>
      </c>
      <c r="I280" s="13" t="n">
        <v>0.0383</v>
      </c>
    </row>
    <row r="281">
      <c r="A281" s="10" t="inlineStr">
        <is>
          <t>MP0279</t>
        </is>
      </c>
      <c r="B281" s="10" t="inlineStr">
        <is>
          <t>Génération 2005-2012</t>
        </is>
      </c>
      <c r="C281" s="11" t="n">
        <v>2005</v>
      </c>
      <c r="D281" s="13" t="n">
        <v>0.015</v>
      </c>
      <c r="E281" s="11" t="n">
        <v>68</v>
      </c>
      <c r="F281" s="11" t="n">
        <v>20</v>
      </c>
      <c r="G281" s="19" t="n">
        <v>16</v>
      </c>
      <c r="H281" s="20" t="n">
        <v>1.165</v>
      </c>
      <c r="I281" s="13" t="n">
        <v>0.028</v>
      </c>
    </row>
    <row r="282">
      <c r="A282" s="10" t="inlineStr">
        <is>
          <t>MP0280</t>
        </is>
      </c>
      <c r="B282" s="10" t="inlineStr">
        <is>
          <t>Génération 2005-2012</t>
        </is>
      </c>
      <c r="C282" s="11" t="n">
        <v>2012</v>
      </c>
      <c r="D282" s="13" t="n">
        <v>0.015</v>
      </c>
      <c r="E282" s="11" t="n">
        <v>54</v>
      </c>
      <c r="F282" s="11" t="n">
        <v>13</v>
      </c>
      <c r="G282" s="19" t="n">
        <v>23</v>
      </c>
      <c r="H282" s="20" t="n">
        <v>1.412</v>
      </c>
      <c r="I282" s="13" t="n">
        <v>0.0249</v>
      </c>
    </row>
    <row r="283">
      <c r="A283" s="10" t="inlineStr">
        <is>
          <t>MP0281</t>
        </is>
      </c>
      <c r="B283" s="10" t="inlineStr">
        <is>
          <t>Génération 2005-2012</t>
        </is>
      </c>
      <c r="C283" s="11" t="n">
        <v>2005</v>
      </c>
      <c r="D283" s="13" t="n">
        <v>0.015</v>
      </c>
      <c r="E283" s="11" t="n">
        <v>57</v>
      </c>
      <c r="F283" s="11" t="n">
        <v>20</v>
      </c>
      <c r="G283" s="19" t="n">
        <v>6</v>
      </c>
      <c r="H283" s="20" t="n">
        <v>0.576</v>
      </c>
      <c r="I283" s="13" t="n">
        <v>0.0334</v>
      </c>
    </row>
    <row r="284">
      <c r="A284" s="10" t="inlineStr">
        <is>
          <t>MP0282</t>
        </is>
      </c>
      <c r="B284" s="10" t="inlineStr">
        <is>
          <t>Génération 2005-2012</t>
        </is>
      </c>
      <c r="C284" s="11" t="n">
        <v>2006</v>
      </c>
      <c r="D284" s="13" t="n">
        <v>0.015</v>
      </c>
      <c r="E284" s="11" t="n">
        <v>67</v>
      </c>
      <c r="F284" s="11" t="n">
        <v>19</v>
      </c>
      <c r="G284" s="19" t="n">
        <v>27</v>
      </c>
      <c r="H284" s="20" t="n">
        <v>1.11</v>
      </c>
      <c r="I284" s="13" t="n">
        <v>0.0432</v>
      </c>
    </row>
    <row r="285">
      <c r="A285" s="10" t="inlineStr">
        <is>
          <t>MP0283</t>
        </is>
      </c>
      <c r="B285" s="10" t="inlineStr">
        <is>
          <t>Génération 2005-2012</t>
        </is>
      </c>
      <c r="C285" s="11" t="n">
        <v>2007</v>
      </c>
      <c r="D285" s="13" t="n">
        <v>0.015</v>
      </c>
      <c r="E285" s="11" t="n">
        <v>63</v>
      </c>
      <c r="F285" s="11" t="n">
        <v>18</v>
      </c>
      <c r="G285" s="19" t="n">
        <v>99</v>
      </c>
      <c r="H285" s="20" t="n">
        <v>1.715</v>
      </c>
      <c r="I285" s="13" t="n">
        <v>0.0302</v>
      </c>
    </row>
    <row r="286">
      <c r="A286" s="10" t="inlineStr">
        <is>
          <t>MP0284</t>
        </is>
      </c>
      <c r="B286" s="10" t="inlineStr">
        <is>
          <t>Génération 2005-2012</t>
        </is>
      </c>
      <c r="C286" s="11" t="n">
        <v>2009</v>
      </c>
      <c r="D286" s="13" t="n">
        <v>0.015</v>
      </c>
      <c r="E286" s="11" t="n">
        <v>67</v>
      </c>
      <c r="F286" s="11" t="n">
        <v>16</v>
      </c>
      <c r="G286" s="19" t="n">
        <v>92</v>
      </c>
      <c r="H286" s="20" t="n">
        <v>1.782</v>
      </c>
      <c r="I286" s="13" t="n">
        <v>0.0307</v>
      </c>
    </row>
    <row r="287">
      <c r="A287" s="10" t="inlineStr">
        <is>
          <t>MP0285</t>
        </is>
      </c>
      <c r="B287" s="10" t="inlineStr">
        <is>
          <t>Génération 2005-2012</t>
        </is>
      </c>
      <c r="C287" s="11" t="n">
        <v>2007</v>
      </c>
      <c r="D287" s="13" t="n">
        <v>0.015</v>
      </c>
      <c r="E287" s="11" t="n">
        <v>59</v>
      </c>
      <c r="F287" s="11" t="n">
        <v>18</v>
      </c>
      <c r="G287" s="19" t="n">
        <v>107</v>
      </c>
      <c r="H287" s="20" t="n">
        <v>3.761</v>
      </c>
      <c r="I287" s="13" t="n">
        <v>0.0267</v>
      </c>
    </row>
    <row r="288">
      <c r="A288" s="10" t="inlineStr">
        <is>
          <t>MP0286</t>
        </is>
      </c>
      <c r="B288" s="10" t="inlineStr">
        <is>
          <t>Génération 2005-2012</t>
        </is>
      </c>
      <c r="C288" s="11" t="n">
        <v>2005</v>
      </c>
      <c r="D288" s="13" t="n">
        <v>0.015</v>
      </c>
      <c r="E288" s="11" t="n">
        <v>59</v>
      </c>
      <c r="F288" s="11" t="n">
        <v>20</v>
      </c>
      <c r="G288" s="19" t="n">
        <v>48</v>
      </c>
      <c r="H288" s="20" t="n">
        <v>3.019</v>
      </c>
      <c r="I288" s="13" t="n">
        <v>0.0399</v>
      </c>
    </row>
    <row r="289">
      <c r="A289" s="10" t="inlineStr">
        <is>
          <t>MP0287</t>
        </is>
      </c>
      <c r="B289" s="10" t="inlineStr">
        <is>
          <t>Génération 2005-2012</t>
        </is>
      </c>
      <c r="C289" s="11" t="n">
        <v>2010</v>
      </c>
      <c r="D289" s="13" t="n">
        <v>0.015</v>
      </c>
      <c r="E289" s="11" t="n">
        <v>62</v>
      </c>
      <c r="F289" s="11" t="n">
        <v>15</v>
      </c>
      <c r="G289" s="19" t="n">
        <v>14</v>
      </c>
      <c r="H289" s="20" t="n">
        <v>0.488</v>
      </c>
      <c r="I289" s="13" t="n">
        <v>0.0358</v>
      </c>
    </row>
    <row r="290">
      <c r="A290" s="10" t="inlineStr">
        <is>
          <t>MP0288</t>
        </is>
      </c>
      <c r="B290" s="10" t="inlineStr">
        <is>
          <t>Génération 2005-2012</t>
        </is>
      </c>
      <c r="C290" s="11" t="n">
        <v>2007</v>
      </c>
      <c r="D290" s="13" t="n">
        <v>0.015</v>
      </c>
      <c r="E290" s="11" t="n">
        <v>54</v>
      </c>
      <c r="F290" s="11" t="n">
        <v>18</v>
      </c>
      <c r="G290" s="19" t="n">
        <v>159</v>
      </c>
      <c r="H290" s="20" t="n">
        <v>4.179</v>
      </c>
      <c r="I290" s="13" t="n">
        <v>0.0312</v>
      </c>
    </row>
    <row r="291">
      <c r="A291" s="10" t="inlineStr">
        <is>
          <t>MP0289</t>
        </is>
      </c>
      <c r="B291" s="10" t="inlineStr">
        <is>
          <t>Génération 2005-2012</t>
        </is>
      </c>
      <c r="C291" s="11" t="n">
        <v>2010</v>
      </c>
      <c r="D291" s="13" t="n">
        <v>0.015</v>
      </c>
      <c r="E291" s="11" t="n">
        <v>53</v>
      </c>
      <c r="F291" s="11" t="n">
        <v>15</v>
      </c>
      <c r="G291" s="19" t="n">
        <v>15</v>
      </c>
      <c r="H291" s="20" t="n">
        <v>0.711</v>
      </c>
      <c r="I291" s="13" t="n">
        <v>0.0394</v>
      </c>
    </row>
    <row r="292">
      <c r="A292" s="10" t="inlineStr">
        <is>
          <t>MP0290</t>
        </is>
      </c>
      <c r="B292" s="10" t="inlineStr">
        <is>
          <t>Génération 2005-2012</t>
        </is>
      </c>
      <c r="C292" s="11" t="n">
        <v>2012</v>
      </c>
      <c r="D292" s="13" t="n">
        <v>0.015</v>
      </c>
      <c r="E292" s="11" t="n">
        <v>63</v>
      </c>
      <c r="F292" s="11" t="n">
        <v>13</v>
      </c>
      <c r="G292" s="19" t="n">
        <v>66</v>
      </c>
      <c r="H292" s="20" t="n">
        <v>2.507</v>
      </c>
      <c r="I292" s="13" t="n">
        <v>0.037</v>
      </c>
    </row>
    <row r="293">
      <c r="A293" s="10" t="inlineStr">
        <is>
          <t>MP0291</t>
        </is>
      </c>
      <c r="B293" s="10" t="inlineStr">
        <is>
          <t>Génération 2005-2012</t>
        </is>
      </c>
      <c r="C293" s="11" t="n">
        <v>2008</v>
      </c>
      <c r="D293" s="13" t="n">
        <v>0.015</v>
      </c>
      <c r="E293" s="11" t="n">
        <v>64</v>
      </c>
      <c r="F293" s="11" t="n">
        <v>17</v>
      </c>
      <c r="G293" s="19" t="n">
        <v>56</v>
      </c>
      <c r="H293" s="20" t="n">
        <v>1.148</v>
      </c>
      <c r="I293" s="13" t="n">
        <v>0.0274</v>
      </c>
    </row>
    <row r="294">
      <c r="A294" s="10" t="inlineStr">
        <is>
          <t>MP0292</t>
        </is>
      </c>
      <c r="B294" s="10" t="inlineStr">
        <is>
          <t>Génération 2005-2012</t>
        </is>
      </c>
      <c r="C294" s="11" t="n">
        <v>2010</v>
      </c>
      <c r="D294" s="13" t="n">
        <v>0.015</v>
      </c>
      <c r="E294" s="11" t="n">
        <v>73</v>
      </c>
      <c r="F294" s="11" t="n">
        <v>15</v>
      </c>
      <c r="G294" s="19" t="n">
        <v>56</v>
      </c>
      <c r="H294" s="20" t="n">
        <v>0.782</v>
      </c>
      <c r="I294" s="13" t="n">
        <v>0.0371</v>
      </c>
    </row>
    <row r="295">
      <c r="A295" s="10" t="inlineStr">
        <is>
          <t>MP0293</t>
        </is>
      </c>
      <c r="B295" s="10" t="inlineStr">
        <is>
          <t>Génération 2005-2012</t>
        </is>
      </c>
      <c r="C295" s="11" t="n">
        <v>2005</v>
      </c>
      <c r="D295" s="13" t="n">
        <v>0.015</v>
      </c>
      <c r="E295" s="11" t="n">
        <v>76</v>
      </c>
      <c r="F295" s="11" t="n">
        <v>20</v>
      </c>
      <c r="G295" s="19" t="n">
        <v>6</v>
      </c>
      <c r="H295" s="20" t="n">
        <v>0.256</v>
      </c>
      <c r="I295" s="13" t="n">
        <v>0.0383</v>
      </c>
    </row>
    <row r="296">
      <c r="A296" s="10" t="inlineStr">
        <is>
          <t>MP0294</t>
        </is>
      </c>
      <c r="B296" s="10" t="inlineStr">
        <is>
          <t>Génération 2005-2012</t>
        </is>
      </c>
      <c r="C296" s="11" t="n">
        <v>2011</v>
      </c>
      <c r="D296" s="13" t="n">
        <v>0.015</v>
      </c>
      <c r="E296" s="11" t="n">
        <v>62</v>
      </c>
      <c r="F296" s="11" t="n">
        <v>14</v>
      </c>
      <c r="G296" s="19" t="n">
        <v>50</v>
      </c>
      <c r="H296" s="20" t="n">
        <v>0.947</v>
      </c>
      <c r="I296" s="13" t="n">
        <v>0.0209</v>
      </c>
    </row>
    <row r="297">
      <c r="A297" s="10" t="inlineStr">
        <is>
          <t>MP0295</t>
        </is>
      </c>
      <c r="B297" s="10" t="inlineStr">
        <is>
          <t>Génération 2005-2012</t>
        </is>
      </c>
      <c r="C297" s="11" t="n">
        <v>2005</v>
      </c>
      <c r="D297" s="13" t="n">
        <v>0.015</v>
      </c>
      <c r="E297" s="11" t="n">
        <v>74</v>
      </c>
      <c r="F297" s="11" t="n">
        <v>20</v>
      </c>
      <c r="G297" s="19" t="n">
        <v>12</v>
      </c>
      <c r="H297" s="20" t="n">
        <v>0.312</v>
      </c>
      <c r="I297" s="13" t="n">
        <v>0.0323</v>
      </c>
    </row>
    <row r="298">
      <c r="A298" s="10" t="inlineStr">
        <is>
          <t>MP0296</t>
        </is>
      </c>
      <c r="B298" s="10" t="inlineStr">
        <is>
          <t>Génération 2005-2012</t>
        </is>
      </c>
      <c r="C298" s="11" t="n">
        <v>2008</v>
      </c>
      <c r="D298" s="13" t="n">
        <v>0.015</v>
      </c>
      <c r="E298" s="11" t="n">
        <v>52</v>
      </c>
      <c r="F298" s="11" t="n">
        <v>17</v>
      </c>
      <c r="G298" s="19" t="n">
        <v>61</v>
      </c>
      <c r="H298" s="20" t="n">
        <v>2.356</v>
      </c>
      <c r="I298" s="13" t="n">
        <v>0.0306</v>
      </c>
    </row>
    <row r="299">
      <c r="A299" s="10" t="inlineStr">
        <is>
          <t>MP0297</t>
        </is>
      </c>
      <c r="B299" s="10" t="inlineStr">
        <is>
          <t>Génération 2005-2012</t>
        </is>
      </c>
      <c r="C299" s="11" t="n">
        <v>2008</v>
      </c>
      <c r="D299" s="13" t="n">
        <v>0.015</v>
      </c>
      <c r="E299" s="11" t="n">
        <v>68</v>
      </c>
      <c r="F299" s="11" t="n">
        <v>17</v>
      </c>
      <c r="G299" s="19" t="n">
        <v>69</v>
      </c>
      <c r="H299" s="20" t="n">
        <v>3.657</v>
      </c>
      <c r="I299" s="13" t="n">
        <v>0.0369</v>
      </c>
    </row>
    <row r="300">
      <c r="A300" s="10" t="inlineStr">
        <is>
          <t>MP0298</t>
        </is>
      </c>
      <c r="B300" s="10" t="inlineStr">
        <is>
          <t>Génération 2005-2012</t>
        </is>
      </c>
      <c r="C300" s="11" t="n">
        <v>2006</v>
      </c>
      <c r="D300" s="13" t="n">
        <v>0.015</v>
      </c>
      <c r="E300" s="11" t="n">
        <v>79</v>
      </c>
      <c r="F300" s="11" t="n">
        <v>19</v>
      </c>
      <c r="G300" s="19" t="n">
        <v>23</v>
      </c>
      <c r="H300" s="20" t="n">
        <v>0.574</v>
      </c>
      <c r="I300" s="13" t="n">
        <v>0.0347</v>
      </c>
    </row>
    <row r="301">
      <c r="A301" s="10" t="inlineStr">
        <is>
          <t>MP0299</t>
        </is>
      </c>
      <c r="B301" s="10" t="inlineStr">
        <is>
          <t>Génération 2005-2012</t>
        </is>
      </c>
      <c r="C301" s="11" t="n">
        <v>2012</v>
      </c>
      <c r="D301" s="13" t="n">
        <v>0.015</v>
      </c>
      <c r="E301" s="11" t="n">
        <v>73</v>
      </c>
      <c r="F301" s="11" t="n">
        <v>13</v>
      </c>
      <c r="G301" s="19" t="n">
        <v>17</v>
      </c>
      <c r="H301" s="20" t="n">
        <v>1.384</v>
      </c>
      <c r="I301" s="13" t="n">
        <v>0.0265</v>
      </c>
    </row>
    <row r="302">
      <c r="A302" s="10" t="inlineStr">
        <is>
          <t>MP0300</t>
        </is>
      </c>
      <c r="B302" s="10" t="inlineStr">
        <is>
          <t>Génération avant 2005</t>
        </is>
      </c>
      <c r="C302" s="11" t="n">
        <v>2003</v>
      </c>
      <c r="D302" s="13" t="n">
        <v>0.025</v>
      </c>
      <c r="E302" s="11" t="n">
        <v>83</v>
      </c>
      <c r="F302" s="11" t="n">
        <v>22</v>
      </c>
      <c r="G302" s="19" t="n">
        <v>15</v>
      </c>
      <c r="H302" s="20" t="n">
        <v>0.531</v>
      </c>
      <c r="I302" s="13" t="n">
        <v>0.0266</v>
      </c>
    </row>
    <row r="303">
      <c r="A303" s="10" t="inlineStr">
        <is>
          <t>MP0301</t>
        </is>
      </c>
      <c r="B303" s="10" t="inlineStr">
        <is>
          <t>Génération avant 2005</t>
        </is>
      </c>
      <c r="C303" s="11" t="n">
        <v>1997</v>
      </c>
      <c r="D303" s="13" t="n">
        <v>0.025</v>
      </c>
      <c r="E303" s="11" t="n">
        <v>78</v>
      </c>
      <c r="F303" s="11" t="n">
        <v>28</v>
      </c>
      <c r="G303" s="19" t="n">
        <v>52</v>
      </c>
      <c r="H303" s="20" t="n">
        <v>2.02</v>
      </c>
      <c r="I303" s="13" t="n">
        <v>0.0215</v>
      </c>
    </row>
    <row r="304">
      <c r="A304" s="10" t="inlineStr">
        <is>
          <t>MP0302</t>
        </is>
      </c>
      <c r="B304" s="10" t="inlineStr">
        <is>
          <t>Génération avant 2005</t>
        </is>
      </c>
      <c r="C304" s="11" t="n">
        <v>1990</v>
      </c>
      <c r="D304" s="13" t="n">
        <v>0.025</v>
      </c>
      <c r="E304" s="11" t="n">
        <v>77</v>
      </c>
      <c r="F304" s="11" t="n">
        <v>35</v>
      </c>
      <c r="G304" s="19" t="n">
        <v>25</v>
      </c>
      <c r="H304" s="20" t="n">
        <v>1.023</v>
      </c>
      <c r="I304" s="13" t="n">
        <v>0.0189</v>
      </c>
    </row>
    <row r="305">
      <c r="A305" s="10" t="inlineStr">
        <is>
          <t>MP0303</t>
        </is>
      </c>
      <c r="B305" s="10" t="inlineStr">
        <is>
          <t>Génération avant 2005</t>
        </is>
      </c>
      <c r="C305" s="11" t="n">
        <v>1995</v>
      </c>
      <c r="D305" s="13" t="n">
        <v>0.025</v>
      </c>
      <c r="E305" s="11" t="n">
        <v>71</v>
      </c>
      <c r="F305" s="11" t="n">
        <v>30</v>
      </c>
      <c r="G305" s="19" t="n">
        <v>25</v>
      </c>
      <c r="H305" s="20" t="n">
        <v>0.797</v>
      </c>
      <c r="I305" s="13" t="n">
        <v>0.0218</v>
      </c>
    </row>
    <row r="306">
      <c r="A306" s="10" t="inlineStr">
        <is>
          <t>MP0304</t>
        </is>
      </c>
      <c r="B306" s="10" t="inlineStr">
        <is>
          <t>Génération avant 2005</t>
        </is>
      </c>
      <c r="C306" s="11" t="n">
        <v>2002</v>
      </c>
      <c r="D306" s="13" t="n">
        <v>0.025</v>
      </c>
      <c r="E306" s="11" t="n">
        <v>55</v>
      </c>
      <c r="F306" s="11" t="n">
        <v>23</v>
      </c>
      <c r="G306" s="19" t="n">
        <v>8</v>
      </c>
      <c r="H306" s="20" t="n">
        <v>0.573</v>
      </c>
      <c r="I306" s="13" t="n">
        <v>0.0166</v>
      </c>
    </row>
    <row r="307">
      <c r="A307" s="10" t="inlineStr">
        <is>
          <t>MP0305</t>
        </is>
      </c>
      <c r="B307" s="10" t="inlineStr">
        <is>
          <t>Génération avant 2005</t>
        </is>
      </c>
      <c r="C307" s="11" t="n">
        <v>1992</v>
      </c>
      <c r="D307" s="13" t="n">
        <v>0.025</v>
      </c>
      <c r="E307" s="11" t="n">
        <v>65</v>
      </c>
      <c r="F307" s="11" t="n">
        <v>33</v>
      </c>
      <c r="G307" s="19" t="n">
        <v>4</v>
      </c>
      <c r="H307" s="20" t="n">
        <v>0.501</v>
      </c>
      <c r="I307" s="13" t="n">
        <v>0.0318</v>
      </c>
    </row>
    <row r="308">
      <c r="A308" s="10" t="inlineStr">
        <is>
          <t>MP0306</t>
        </is>
      </c>
      <c r="B308" s="10" t="inlineStr">
        <is>
          <t>Génération avant 2005</t>
        </is>
      </c>
      <c r="C308" s="11" t="n">
        <v>1990</v>
      </c>
      <c r="D308" s="13" t="n">
        <v>0.025</v>
      </c>
      <c r="E308" s="11" t="n">
        <v>63</v>
      </c>
      <c r="F308" s="11" t="n">
        <v>35</v>
      </c>
      <c r="G308" s="19" t="n">
        <v>26</v>
      </c>
      <c r="H308" s="20" t="n">
        <v>0.858</v>
      </c>
      <c r="I308" s="13" t="n">
        <v>0.0254</v>
      </c>
    </row>
    <row r="309">
      <c r="A309" s="10" t="inlineStr">
        <is>
          <t>MP0307</t>
        </is>
      </c>
      <c r="B309" s="10" t="inlineStr">
        <is>
          <t>Génération avant 2005</t>
        </is>
      </c>
      <c r="C309" s="11" t="n">
        <v>1991</v>
      </c>
      <c r="D309" s="13" t="n">
        <v>0.025</v>
      </c>
      <c r="E309" s="11" t="n">
        <v>71</v>
      </c>
      <c r="F309" s="11" t="n">
        <v>34</v>
      </c>
      <c r="G309" s="19" t="n">
        <v>13</v>
      </c>
      <c r="H309" s="20" t="n">
        <v>0.5570000000000001</v>
      </c>
      <c r="I309" s="13" t="n">
        <v>0.0248</v>
      </c>
    </row>
    <row r="310">
      <c r="A310" s="10" t="inlineStr">
        <is>
          <t>MP0308</t>
        </is>
      </c>
      <c r="B310" s="10" t="inlineStr">
        <is>
          <t>Génération avant 2005</t>
        </is>
      </c>
      <c r="C310" s="11" t="n">
        <v>1996</v>
      </c>
      <c r="D310" s="13" t="n">
        <v>0.025</v>
      </c>
      <c r="E310" s="11" t="n">
        <v>56</v>
      </c>
      <c r="F310" s="11" t="n">
        <v>29</v>
      </c>
      <c r="G310" s="19" t="n">
        <v>20</v>
      </c>
      <c r="H310" s="20" t="n">
        <v>0.659</v>
      </c>
      <c r="I310" s="13" t="n">
        <v>0.0305</v>
      </c>
    </row>
    <row r="311">
      <c r="A311" s="10" t="inlineStr">
        <is>
          <t>MP0309</t>
        </is>
      </c>
      <c r="B311" s="10" t="inlineStr">
        <is>
          <t>Génération avant 2005</t>
        </is>
      </c>
      <c r="C311" s="11" t="n">
        <v>1997</v>
      </c>
      <c r="D311" s="13" t="n">
        <v>0.025</v>
      </c>
      <c r="E311" s="11" t="n">
        <v>56</v>
      </c>
      <c r="F311" s="11" t="n">
        <v>28</v>
      </c>
      <c r="G311" s="19" t="n">
        <v>19</v>
      </c>
      <c r="H311" s="20" t="n">
        <v>0.726</v>
      </c>
      <c r="I311" s="13" t="n">
        <v>0.0201</v>
      </c>
    </row>
    <row r="312">
      <c r="A312" s="10" t="inlineStr">
        <is>
          <t>MP0310</t>
        </is>
      </c>
      <c r="B312" s="10" t="inlineStr">
        <is>
          <t>Génération avant 2005</t>
        </is>
      </c>
      <c r="C312" s="11" t="n">
        <v>2001</v>
      </c>
      <c r="D312" s="13" t="n">
        <v>0.025</v>
      </c>
      <c r="E312" s="11" t="n">
        <v>64</v>
      </c>
      <c r="F312" s="11" t="n">
        <v>24</v>
      </c>
      <c r="G312" s="19" t="n">
        <v>4</v>
      </c>
      <c r="H312" s="20" t="n">
        <v>0.396</v>
      </c>
      <c r="I312" s="13" t="n">
        <v>0.028</v>
      </c>
    </row>
    <row r="313">
      <c r="A313" s="10" t="inlineStr">
        <is>
          <t>MP0311</t>
        </is>
      </c>
      <c r="B313" s="10" t="inlineStr">
        <is>
          <t>Génération avant 2005</t>
        </is>
      </c>
      <c r="C313" s="11" t="n">
        <v>1993</v>
      </c>
      <c r="D313" s="13" t="n">
        <v>0.025</v>
      </c>
      <c r="E313" s="11" t="n">
        <v>58</v>
      </c>
      <c r="F313" s="11" t="n">
        <v>32</v>
      </c>
      <c r="G313" s="19" t="n">
        <v>17</v>
      </c>
      <c r="H313" s="20" t="n">
        <v>1.043</v>
      </c>
      <c r="I313" s="13" t="n">
        <v>0.0204</v>
      </c>
    </row>
    <row r="314">
      <c r="A314" s="10" t="inlineStr">
        <is>
          <t>MP0312</t>
        </is>
      </c>
      <c r="B314" s="10" t="inlineStr">
        <is>
          <t>Génération avant 2005</t>
        </is>
      </c>
      <c r="C314" s="11" t="n">
        <v>2003</v>
      </c>
      <c r="D314" s="13" t="n">
        <v>0.025</v>
      </c>
      <c r="E314" s="11" t="n">
        <v>69</v>
      </c>
      <c r="F314" s="11" t="n">
        <v>22</v>
      </c>
      <c r="G314" s="19" t="n">
        <v>213</v>
      </c>
      <c r="H314" s="20" t="n">
        <v>7.016</v>
      </c>
      <c r="I314" s="13" t="n">
        <v>0.0304</v>
      </c>
    </row>
    <row r="315">
      <c r="A315" s="10" t="inlineStr">
        <is>
          <t>MP0313</t>
        </is>
      </c>
      <c r="B315" s="10" t="inlineStr">
        <is>
          <t>Génération avant 2005</t>
        </is>
      </c>
      <c r="C315" s="11" t="n">
        <v>1991</v>
      </c>
      <c r="D315" s="13" t="n">
        <v>0.025</v>
      </c>
      <c r="E315" s="11" t="n">
        <v>64</v>
      </c>
      <c r="F315" s="11" t="n">
        <v>34</v>
      </c>
      <c r="G315" s="19" t="n">
        <v>5</v>
      </c>
      <c r="H315" s="20" t="n">
        <v>0.165</v>
      </c>
      <c r="I315" s="13" t="n">
        <v>0.0211</v>
      </c>
    </row>
    <row r="316">
      <c r="A316" s="10" t="inlineStr">
        <is>
          <t>MP0314</t>
        </is>
      </c>
      <c r="B316" s="10" t="inlineStr">
        <is>
          <t>Génération avant 2005</t>
        </is>
      </c>
      <c r="C316" s="11" t="n">
        <v>2004</v>
      </c>
      <c r="D316" s="13" t="n">
        <v>0.025</v>
      </c>
      <c r="E316" s="11" t="n">
        <v>76</v>
      </c>
      <c r="F316" s="11" t="n">
        <v>21</v>
      </c>
      <c r="G316" s="19" t="n">
        <v>15</v>
      </c>
      <c r="H316" s="20" t="n">
        <v>0.883</v>
      </c>
      <c r="I316" s="13" t="n">
        <v>0.0353</v>
      </c>
    </row>
    <row r="317">
      <c r="A317" s="10" t="inlineStr">
        <is>
          <t>MP0315</t>
        </is>
      </c>
      <c r="B317" s="10" t="inlineStr">
        <is>
          <t>Génération avant 2005</t>
        </is>
      </c>
      <c r="C317" s="11" t="n">
        <v>1998</v>
      </c>
      <c r="D317" s="13" t="n">
        <v>0.025</v>
      </c>
      <c r="E317" s="11" t="n">
        <v>89</v>
      </c>
      <c r="F317" s="11" t="n">
        <v>27</v>
      </c>
      <c r="G317" s="19" t="n">
        <v>14</v>
      </c>
      <c r="H317" s="20" t="n">
        <v>0.371</v>
      </c>
      <c r="I317" s="13" t="n">
        <v>0.0254</v>
      </c>
    </row>
    <row r="318">
      <c r="A318" s="10" t="inlineStr">
        <is>
          <t>MP0316</t>
        </is>
      </c>
      <c r="B318" s="10" t="inlineStr">
        <is>
          <t>Génération avant 2005</t>
        </is>
      </c>
      <c r="C318" s="11" t="n">
        <v>1994</v>
      </c>
      <c r="D318" s="13" t="n">
        <v>0.025</v>
      </c>
      <c r="E318" s="11" t="n">
        <v>63</v>
      </c>
      <c r="F318" s="11" t="n">
        <v>31</v>
      </c>
      <c r="G318" s="19" t="n">
        <v>35</v>
      </c>
      <c r="H318" s="20" t="n">
        <v>1.082</v>
      </c>
      <c r="I318" s="13" t="n">
        <v>0.0187</v>
      </c>
    </row>
    <row r="319">
      <c r="A319" s="10" t="inlineStr">
        <is>
          <t>MP0317</t>
        </is>
      </c>
      <c r="B319" s="10" t="inlineStr">
        <is>
          <t>Génération avant 2005</t>
        </is>
      </c>
      <c r="C319" s="11" t="n">
        <v>2000</v>
      </c>
      <c r="D319" s="13" t="n">
        <v>0.025</v>
      </c>
      <c r="E319" s="11" t="n">
        <v>58</v>
      </c>
      <c r="F319" s="11" t="n">
        <v>25</v>
      </c>
      <c r="G319" s="19" t="n">
        <v>18</v>
      </c>
      <c r="H319" s="20" t="n">
        <v>0.708</v>
      </c>
      <c r="I319" s="13" t="n">
        <v>0.0177</v>
      </c>
    </row>
    <row r="320">
      <c r="A320" s="10" t="inlineStr">
        <is>
          <t>MP0318</t>
        </is>
      </c>
      <c r="B320" s="10" t="inlineStr">
        <is>
          <t>Génération avant 2005</t>
        </is>
      </c>
      <c r="C320" s="11" t="n">
        <v>2004</v>
      </c>
      <c r="D320" s="13" t="n">
        <v>0.025</v>
      </c>
      <c r="E320" s="11" t="n">
        <v>58</v>
      </c>
      <c r="F320" s="11" t="n">
        <v>21</v>
      </c>
      <c r="G320" s="19" t="n">
        <v>7</v>
      </c>
      <c r="H320" s="20" t="n">
        <v>1.254</v>
      </c>
      <c r="I320" s="13" t="n">
        <v>0.0223</v>
      </c>
    </row>
    <row r="321">
      <c r="A321" s="10" t="inlineStr">
        <is>
          <t>MP0319</t>
        </is>
      </c>
      <c r="B321" s="10" t="inlineStr">
        <is>
          <t>Génération avant 2005</t>
        </is>
      </c>
      <c r="C321" s="11" t="n">
        <v>1993</v>
      </c>
      <c r="D321" s="13" t="n">
        <v>0.025</v>
      </c>
      <c r="E321" s="11" t="n">
        <v>71</v>
      </c>
      <c r="F321" s="11" t="n">
        <v>32</v>
      </c>
      <c r="G321" s="19" t="n">
        <v>79</v>
      </c>
      <c r="H321" s="20" t="n">
        <v>1.746</v>
      </c>
      <c r="I321" s="13" t="n">
        <v>0.0352</v>
      </c>
    </row>
    <row r="322">
      <c r="A322" s="10" t="inlineStr">
        <is>
          <t>MP0320</t>
        </is>
      </c>
      <c r="B322" s="10" t="inlineStr">
        <is>
          <t>Génération avant 2005</t>
        </is>
      </c>
      <c r="C322" s="11" t="n">
        <v>1991</v>
      </c>
      <c r="D322" s="13" t="n">
        <v>0.025</v>
      </c>
      <c r="E322" s="11" t="n">
        <v>74</v>
      </c>
      <c r="F322" s="11" t="n">
        <v>34</v>
      </c>
      <c r="G322" s="19" t="n">
        <v>37</v>
      </c>
      <c r="H322" s="20" t="n">
        <v>0.795</v>
      </c>
      <c r="I322" s="13" t="n">
        <v>0.0263</v>
      </c>
    </row>
    <row r="323">
      <c r="A323" s="10" t="inlineStr">
        <is>
          <t>MP0321</t>
        </is>
      </c>
      <c r="B323" s="10" t="inlineStr">
        <is>
          <t>Génération avant 2005</t>
        </is>
      </c>
      <c r="C323" s="11" t="n">
        <v>1999</v>
      </c>
      <c r="D323" s="13" t="n">
        <v>0.025</v>
      </c>
      <c r="E323" s="11" t="n">
        <v>58</v>
      </c>
      <c r="F323" s="11" t="n">
        <v>26</v>
      </c>
      <c r="G323" s="19" t="n">
        <v>19</v>
      </c>
      <c r="H323" s="20" t="n">
        <v>1.686</v>
      </c>
      <c r="I323" s="13" t="n">
        <v>0.0299</v>
      </c>
    </row>
    <row r="324">
      <c r="A324" s="10" t="inlineStr">
        <is>
          <t>MP0322</t>
        </is>
      </c>
      <c r="B324" s="10" t="inlineStr">
        <is>
          <t>Génération avant 2005</t>
        </is>
      </c>
      <c r="C324" s="11" t="n">
        <v>1996</v>
      </c>
      <c r="D324" s="13" t="n">
        <v>0.025</v>
      </c>
      <c r="E324" s="11" t="n">
        <v>47</v>
      </c>
      <c r="F324" s="11" t="n">
        <v>29</v>
      </c>
      <c r="G324" s="19" t="n">
        <v>4</v>
      </c>
      <c r="H324" s="20" t="n">
        <v>0.104</v>
      </c>
      <c r="I324" s="13" t="n">
        <v>0.0291</v>
      </c>
    </row>
    <row r="325">
      <c r="A325" s="10" t="inlineStr">
        <is>
          <t>MP0323</t>
        </is>
      </c>
      <c r="B325" s="10" t="inlineStr">
        <is>
          <t>Génération avant 2005</t>
        </is>
      </c>
      <c r="C325" s="11" t="n">
        <v>1997</v>
      </c>
      <c r="D325" s="13" t="n">
        <v>0.025</v>
      </c>
      <c r="E325" s="11" t="n">
        <v>80</v>
      </c>
      <c r="F325" s="11" t="n">
        <v>28</v>
      </c>
      <c r="G325" s="19" t="n">
        <v>33</v>
      </c>
      <c r="H325" s="20" t="n">
        <v>2.433</v>
      </c>
      <c r="I325" s="13" t="n">
        <v>0.0154</v>
      </c>
    </row>
    <row r="326">
      <c r="A326" s="10" t="inlineStr">
        <is>
          <t>MP0324</t>
        </is>
      </c>
      <c r="B326" s="10" t="inlineStr">
        <is>
          <t>Génération avant 2005</t>
        </is>
      </c>
      <c r="C326" s="11" t="n">
        <v>1998</v>
      </c>
      <c r="D326" s="13" t="n">
        <v>0.025</v>
      </c>
      <c r="E326" s="11" t="n">
        <v>77</v>
      </c>
      <c r="F326" s="11" t="n">
        <v>27</v>
      </c>
      <c r="G326" s="19" t="n">
        <v>50</v>
      </c>
      <c r="H326" s="20" t="n">
        <v>0.92</v>
      </c>
      <c r="I326" s="13" t="n">
        <v>0.025</v>
      </c>
    </row>
    <row r="327">
      <c r="A327" s="10" t="inlineStr">
        <is>
          <t>MP0325</t>
        </is>
      </c>
      <c r="B327" s="10" t="inlineStr">
        <is>
          <t>Génération avant 2005</t>
        </is>
      </c>
      <c r="C327" s="11" t="n">
        <v>1992</v>
      </c>
      <c r="D327" s="13" t="n">
        <v>0.025</v>
      </c>
      <c r="E327" s="11" t="n">
        <v>73</v>
      </c>
      <c r="F327" s="11" t="n">
        <v>33</v>
      </c>
      <c r="G327" s="19" t="n">
        <v>44</v>
      </c>
      <c r="H327" s="20" t="n">
        <v>1.614</v>
      </c>
      <c r="I327" s="13" t="n">
        <v>0.0139</v>
      </c>
    </row>
    <row r="328">
      <c r="A328" s="10" t="inlineStr">
        <is>
          <t>MP0326</t>
        </is>
      </c>
      <c r="B328" s="10" t="inlineStr">
        <is>
          <t>Génération avant 2005</t>
        </is>
      </c>
      <c r="C328" s="11" t="n">
        <v>2000</v>
      </c>
      <c r="D328" s="13" t="n">
        <v>0.025</v>
      </c>
      <c r="E328" s="11" t="n">
        <v>65</v>
      </c>
      <c r="F328" s="11" t="n">
        <v>25</v>
      </c>
      <c r="G328" s="19" t="n">
        <v>6</v>
      </c>
      <c r="H328" s="20" t="n">
        <v>0.257</v>
      </c>
      <c r="I328" s="13" t="n">
        <v>0.0216</v>
      </c>
    </row>
    <row r="329">
      <c r="A329" s="10" t="inlineStr">
        <is>
          <t>MP0327</t>
        </is>
      </c>
      <c r="B329" s="10" t="inlineStr">
        <is>
          <t>Génération avant 2005</t>
        </is>
      </c>
      <c r="C329" s="11" t="n">
        <v>1990</v>
      </c>
      <c r="D329" s="13" t="n">
        <v>0.025</v>
      </c>
      <c r="E329" s="11" t="n">
        <v>68</v>
      </c>
      <c r="F329" s="11" t="n">
        <v>35</v>
      </c>
      <c r="G329" s="19" t="n">
        <v>8</v>
      </c>
      <c r="H329" s="20" t="n">
        <v>0.351</v>
      </c>
      <c r="I329" s="13" t="n">
        <v>0.0277</v>
      </c>
    </row>
    <row r="330">
      <c r="A330" s="10" t="inlineStr">
        <is>
          <t>MP0328</t>
        </is>
      </c>
      <c r="B330" s="10" t="inlineStr">
        <is>
          <t>Génération avant 2005</t>
        </is>
      </c>
      <c r="C330" s="11" t="n">
        <v>1995</v>
      </c>
      <c r="D330" s="13" t="n">
        <v>0.025</v>
      </c>
      <c r="E330" s="11" t="n">
        <v>66</v>
      </c>
      <c r="F330" s="11" t="n">
        <v>30</v>
      </c>
      <c r="G330" s="19" t="n">
        <v>17</v>
      </c>
      <c r="H330" s="20" t="n">
        <v>0.766</v>
      </c>
      <c r="I330" s="13" t="n">
        <v>0.0135</v>
      </c>
    </row>
    <row r="331">
      <c r="A331" s="10" t="inlineStr">
        <is>
          <t>MP0329</t>
        </is>
      </c>
      <c r="B331" s="10" t="inlineStr">
        <is>
          <t>Génération avant 2005</t>
        </is>
      </c>
      <c r="C331" s="11" t="n">
        <v>1999</v>
      </c>
      <c r="D331" s="13" t="n">
        <v>0.025</v>
      </c>
      <c r="E331" s="11" t="n">
        <v>72</v>
      </c>
      <c r="F331" s="11" t="n">
        <v>26</v>
      </c>
      <c r="G331" s="19" t="n">
        <v>16</v>
      </c>
      <c r="H331" s="20" t="n">
        <v>0.672</v>
      </c>
      <c r="I331" s="13" t="n">
        <v>0.0252</v>
      </c>
    </row>
    <row r="332">
      <c r="A332" s="10" t="inlineStr">
        <is>
          <t>MP0330</t>
        </is>
      </c>
      <c r="B332" s="10" t="inlineStr">
        <is>
          <t>Génération avant 2005</t>
        </is>
      </c>
      <c r="C332" s="11" t="n">
        <v>1997</v>
      </c>
      <c r="D332" s="13" t="n">
        <v>0.025</v>
      </c>
      <c r="E332" s="11" t="n">
        <v>51</v>
      </c>
      <c r="F332" s="11" t="n">
        <v>28</v>
      </c>
      <c r="G332" s="19" t="n">
        <v>54</v>
      </c>
      <c r="H332" s="20" t="n">
        <v>0.855</v>
      </c>
      <c r="I332" s="13" t="n">
        <v>0.0266</v>
      </c>
    </row>
    <row r="333">
      <c r="A333" s="10" t="inlineStr">
        <is>
          <t>MP0331</t>
        </is>
      </c>
      <c r="B333" s="10" t="inlineStr">
        <is>
          <t>Génération avant 2005</t>
        </is>
      </c>
      <c r="C333" s="11" t="n">
        <v>2002</v>
      </c>
      <c r="D333" s="13" t="n">
        <v>0.025</v>
      </c>
      <c r="E333" s="11" t="n">
        <v>67</v>
      </c>
      <c r="F333" s="11" t="n">
        <v>23</v>
      </c>
      <c r="G333" s="19" t="n">
        <v>35</v>
      </c>
      <c r="H333" s="20" t="n">
        <v>1.623</v>
      </c>
      <c r="I333" s="13" t="n">
        <v>0.0222</v>
      </c>
    </row>
    <row r="334">
      <c r="A334" s="10" t="inlineStr">
        <is>
          <t>MP0332</t>
        </is>
      </c>
      <c r="B334" s="10" t="inlineStr">
        <is>
          <t>Génération avant 2005</t>
        </is>
      </c>
      <c r="C334" s="11" t="n">
        <v>2001</v>
      </c>
      <c r="D334" s="13" t="n">
        <v>0.025</v>
      </c>
      <c r="E334" s="11" t="n">
        <v>75</v>
      </c>
      <c r="F334" s="11" t="n">
        <v>24</v>
      </c>
      <c r="G334" s="19" t="n">
        <v>3</v>
      </c>
      <c r="H334" s="20" t="n">
        <v>0.166</v>
      </c>
      <c r="I334" s="13" t="n">
        <v>0.0234</v>
      </c>
    </row>
    <row r="335">
      <c r="A335" s="10" t="inlineStr">
        <is>
          <t>MP0333</t>
        </is>
      </c>
      <c r="B335" s="10" t="inlineStr">
        <is>
          <t>Génération avant 2005</t>
        </is>
      </c>
      <c r="C335" s="11" t="n">
        <v>2004</v>
      </c>
      <c r="D335" s="13" t="n">
        <v>0.025</v>
      </c>
      <c r="E335" s="11" t="n">
        <v>47</v>
      </c>
      <c r="F335" s="11" t="n">
        <v>21</v>
      </c>
      <c r="G335" s="19" t="n">
        <v>24</v>
      </c>
      <c r="H335" s="20" t="n">
        <v>1.486</v>
      </c>
      <c r="I335" s="13" t="n">
        <v>0.0323</v>
      </c>
    </row>
    <row r="336">
      <c r="A336" s="10" t="inlineStr">
        <is>
          <t>MP0334</t>
        </is>
      </c>
      <c r="B336" s="10" t="inlineStr">
        <is>
          <t>Génération avant 2005</t>
        </is>
      </c>
      <c r="C336" s="11" t="n">
        <v>1995</v>
      </c>
      <c r="D336" s="13" t="n">
        <v>0.025</v>
      </c>
      <c r="E336" s="11" t="n">
        <v>62</v>
      </c>
      <c r="F336" s="11" t="n">
        <v>30</v>
      </c>
      <c r="G336" s="19" t="n">
        <v>11</v>
      </c>
      <c r="H336" s="20" t="n">
        <v>0.6860000000000001</v>
      </c>
      <c r="I336" s="13" t="n">
        <v>0.0302</v>
      </c>
    </row>
    <row r="337">
      <c r="A337" s="10" t="inlineStr">
        <is>
          <t>MP0335</t>
        </is>
      </c>
      <c r="B337" s="10" t="inlineStr">
        <is>
          <t>Génération avant 2005</t>
        </is>
      </c>
      <c r="C337" s="11" t="n">
        <v>1997</v>
      </c>
      <c r="D337" s="13" t="n">
        <v>0.025</v>
      </c>
      <c r="E337" s="11" t="n">
        <v>83</v>
      </c>
      <c r="F337" s="11" t="n">
        <v>28</v>
      </c>
      <c r="G337" s="19" t="n">
        <v>21</v>
      </c>
      <c r="H337" s="20" t="n">
        <v>0.579</v>
      </c>
      <c r="I337" s="13" t="n">
        <v>0.0236</v>
      </c>
    </row>
    <row r="338">
      <c r="A338" s="10" t="inlineStr">
        <is>
          <t>MP0336</t>
        </is>
      </c>
      <c r="B338" s="10" t="inlineStr">
        <is>
          <t>Génération avant 2005</t>
        </is>
      </c>
      <c r="C338" s="11" t="n">
        <v>1998</v>
      </c>
      <c r="D338" s="13" t="n">
        <v>0.025</v>
      </c>
      <c r="E338" s="11" t="n">
        <v>69</v>
      </c>
      <c r="F338" s="11" t="n">
        <v>27</v>
      </c>
      <c r="G338" s="19" t="n">
        <v>8</v>
      </c>
      <c r="H338" s="20" t="n">
        <v>0.21</v>
      </c>
      <c r="I338" s="13" t="n">
        <v>0.0275</v>
      </c>
    </row>
    <row r="339">
      <c r="A339" s="10" t="inlineStr">
        <is>
          <t>MP0337</t>
        </is>
      </c>
      <c r="B339" s="10" t="inlineStr">
        <is>
          <t>Génération avant 2005</t>
        </is>
      </c>
      <c r="C339" s="11" t="n">
        <v>2001</v>
      </c>
      <c r="D339" s="13" t="n">
        <v>0.025</v>
      </c>
      <c r="E339" s="11" t="n">
        <v>72</v>
      </c>
      <c r="F339" s="11" t="n">
        <v>24</v>
      </c>
      <c r="G339" s="19" t="n">
        <v>23</v>
      </c>
      <c r="H339" s="20" t="n">
        <v>1.019</v>
      </c>
      <c r="I339" s="13" t="n">
        <v>0.0263</v>
      </c>
    </row>
    <row r="340">
      <c r="A340" s="10" t="inlineStr">
        <is>
          <t>MP0338</t>
        </is>
      </c>
      <c r="B340" s="10" t="inlineStr">
        <is>
          <t>Génération avant 2005</t>
        </is>
      </c>
      <c r="C340" s="11" t="n">
        <v>1996</v>
      </c>
      <c r="D340" s="13" t="n">
        <v>0.025</v>
      </c>
      <c r="E340" s="11" t="n">
        <v>82</v>
      </c>
      <c r="F340" s="11" t="n">
        <v>29</v>
      </c>
      <c r="G340" s="19" t="n">
        <v>3</v>
      </c>
      <c r="H340" s="20" t="n">
        <v>0.099</v>
      </c>
      <c r="I340" s="13" t="n">
        <v>0.0215</v>
      </c>
    </row>
    <row r="341">
      <c r="A341" s="10" t="inlineStr">
        <is>
          <t>MP0339</t>
        </is>
      </c>
      <c r="B341" s="10" t="inlineStr">
        <is>
          <t>Génération avant 2005</t>
        </is>
      </c>
      <c r="C341" s="11" t="n">
        <v>1996</v>
      </c>
      <c r="D341" s="13" t="n">
        <v>0.025</v>
      </c>
      <c r="E341" s="11" t="n">
        <v>69</v>
      </c>
      <c r="F341" s="11" t="n">
        <v>29</v>
      </c>
      <c r="G341" s="19" t="n">
        <v>17</v>
      </c>
      <c r="H341" s="20" t="n">
        <v>1.145</v>
      </c>
      <c r="I341" s="13" t="n">
        <v>0.016</v>
      </c>
    </row>
    <row r="342">
      <c r="A342" s="10" t="inlineStr">
        <is>
          <t>MP0340</t>
        </is>
      </c>
      <c r="B342" s="10" t="inlineStr">
        <is>
          <t>Génération avant 2005</t>
        </is>
      </c>
      <c r="C342" s="11" t="n">
        <v>2004</v>
      </c>
      <c r="D342" s="13" t="n">
        <v>0.025</v>
      </c>
      <c r="E342" s="11" t="n">
        <v>48</v>
      </c>
      <c r="F342" s="11" t="n">
        <v>21</v>
      </c>
      <c r="G342" s="19" t="n">
        <v>4</v>
      </c>
      <c r="H342" s="20" t="n">
        <v>0.207</v>
      </c>
      <c r="I342" s="13" t="n">
        <v>0.0183</v>
      </c>
    </row>
    <row r="343">
      <c r="A343" s="10" t="inlineStr">
        <is>
          <t>MP0341</t>
        </is>
      </c>
      <c r="B343" s="10" t="inlineStr">
        <is>
          <t>Génération avant 2005</t>
        </is>
      </c>
      <c r="C343" s="11" t="n">
        <v>1996</v>
      </c>
      <c r="D343" s="13" t="n">
        <v>0.025</v>
      </c>
      <c r="E343" s="11" t="n">
        <v>66</v>
      </c>
      <c r="F343" s="11" t="n">
        <v>29</v>
      </c>
      <c r="G343" s="19" t="n">
        <v>12</v>
      </c>
      <c r="H343" s="20" t="n">
        <v>0.711</v>
      </c>
      <c r="I343" s="13" t="n">
        <v>0.0212</v>
      </c>
    </row>
    <row r="344">
      <c r="A344" s="10" t="inlineStr">
        <is>
          <t>MP0342</t>
        </is>
      </c>
      <c r="B344" s="10" t="inlineStr">
        <is>
          <t>Génération avant 2005</t>
        </is>
      </c>
      <c r="C344" s="11" t="n">
        <v>1993</v>
      </c>
      <c r="D344" s="13" t="n">
        <v>0.025</v>
      </c>
      <c r="E344" s="11" t="n">
        <v>68</v>
      </c>
      <c r="F344" s="11" t="n">
        <v>32</v>
      </c>
      <c r="G344" s="19" t="n">
        <v>10</v>
      </c>
      <c r="H344" s="20" t="n">
        <v>0.62</v>
      </c>
      <c r="I344" s="13" t="n">
        <v>0.0279</v>
      </c>
    </row>
    <row r="345">
      <c r="A345" s="10" t="inlineStr">
        <is>
          <t>MP0343</t>
        </is>
      </c>
      <c r="B345" s="10" t="inlineStr">
        <is>
          <t>Génération avant 2005</t>
        </is>
      </c>
      <c r="C345" s="11" t="n">
        <v>1999</v>
      </c>
      <c r="D345" s="13" t="n">
        <v>0.025</v>
      </c>
      <c r="E345" s="11" t="n">
        <v>62</v>
      </c>
      <c r="F345" s="11" t="n">
        <v>26</v>
      </c>
      <c r="G345" s="19" t="n">
        <v>45</v>
      </c>
      <c r="H345" s="20" t="n">
        <v>1.737</v>
      </c>
      <c r="I345" s="13" t="n">
        <v>0.0313</v>
      </c>
    </row>
    <row r="346">
      <c r="A346" s="10" t="inlineStr">
        <is>
          <t>MP0344</t>
        </is>
      </c>
      <c r="B346" s="10" t="inlineStr">
        <is>
          <t>Génération avant 2005</t>
        </is>
      </c>
      <c r="C346" s="11" t="n">
        <v>1991</v>
      </c>
      <c r="D346" s="13" t="n">
        <v>0.025</v>
      </c>
      <c r="E346" s="11" t="n">
        <v>59</v>
      </c>
      <c r="F346" s="11" t="n">
        <v>34</v>
      </c>
      <c r="G346" s="19" t="n">
        <v>10</v>
      </c>
      <c r="H346" s="20" t="n">
        <v>0.591</v>
      </c>
      <c r="I346" s="13" t="n">
        <v>0.0185</v>
      </c>
    </row>
    <row r="347">
      <c r="A347" s="10" t="inlineStr">
        <is>
          <t>MP0345</t>
        </is>
      </c>
      <c r="B347" s="10" t="inlineStr">
        <is>
          <t>Génération avant 2005</t>
        </is>
      </c>
      <c r="C347" s="11" t="n">
        <v>1992</v>
      </c>
      <c r="D347" s="13" t="n">
        <v>0.025</v>
      </c>
      <c r="E347" s="11" t="n">
        <v>83</v>
      </c>
      <c r="F347" s="11" t="n">
        <v>33</v>
      </c>
      <c r="G347" s="19" t="n">
        <v>5</v>
      </c>
      <c r="H347" s="20" t="n">
        <v>0.391</v>
      </c>
      <c r="I347" s="13" t="n">
        <v>0.0267</v>
      </c>
    </row>
    <row r="348">
      <c r="A348" s="10" t="inlineStr">
        <is>
          <t>MP0346</t>
        </is>
      </c>
      <c r="B348" s="10" t="inlineStr">
        <is>
          <t>Génération avant 2005</t>
        </is>
      </c>
      <c r="C348" s="11" t="n">
        <v>1991</v>
      </c>
      <c r="D348" s="13" t="n">
        <v>0.025</v>
      </c>
      <c r="E348" s="11" t="n">
        <v>69</v>
      </c>
      <c r="F348" s="11" t="n">
        <v>34</v>
      </c>
      <c r="G348" s="19" t="n">
        <v>7</v>
      </c>
      <c r="H348" s="20" t="n">
        <v>0.455</v>
      </c>
      <c r="I348" s="13" t="n">
        <v>0.0228</v>
      </c>
    </row>
    <row r="349">
      <c r="A349" s="10" t="inlineStr">
        <is>
          <t>MP0347</t>
        </is>
      </c>
      <c r="B349" s="10" t="inlineStr">
        <is>
          <t>Génération avant 2005</t>
        </is>
      </c>
      <c r="C349" s="11" t="n">
        <v>1990</v>
      </c>
      <c r="D349" s="13" t="n">
        <v>0.025</v>
      </c>
      <c r="E349" s="11" t="n">
        <v>74</v>
      </c>
      <c r="F349" s="11" t="n">
        <v>35</v>
      </c>
      <c r="G349" s="19" t="n">
        <v>29</v>
      </c>
      <c r="H349" s="20" t="n">
        <v>1.887</v>
      </c>
      <c r="I349" s="13" t="n">
        <v>0.0216</v>
      </c>
    </row>
    <row r="350">
      <c r="A350" s="10" t="inlineStr">
        <is>
          <t>MP0348</t>
        </is>
      </c>
      <c r="B350" s="10" t="inlineStr">
        <is>
          <t>Génération avant 2005</t>
        </is>
      </c>
      <c r="C350" s="11" t="n">
        <v>1992</v>
      </c>
      <c r="D350" s="13" t="n">
        <v>0.025</v>
      </c>
      <c r="E350" s="11" t="n">
        <v>60</v>
      </c>
      <c r="F350" s="11" t="n">
        <v>33</v>
      </c>
      <c r="G350" s="19" t="n">
        <v>42</v>
      </c>
      <c r="H350" s="20" t="n">
        <v>1.047</v>
      </c>
      <c r="I350" s="13" t="n">
        <v>0.014</v>
      </c>
    </row>
    <row r="351">
      <c r="A351" s="10" t="inlineStr">
        <is>
          <t>MP0349</t>
        </is>
      </c>
      <c r="B351" s="10" t="inlineStr">
        <is>
          <t>Génération avant 2005</t>
        </is>
      </c>
      <c r="C351" s="11" t="n">
        <v>2000</v>
      </c>
      <c r="D351" s="13" t="n">
        <v>0.025</v>
      </c>
      <c r="E351" s="11" t="n">
        <v>74</v>
      </c>
      <c r="F351" s="11" t="n">
        <v>25</v>
      </c>
      <c r="G351" s="19" t="n">
        <v>4</v>
      </c>
      <c r="H351" s="20" t="n">
        <v>0.501</v>
      </c>
      <c r="I351" s="13" t="n">
        <v>0.0336</v>
      </c>
    </row>
    <row r="352">
      <c r="A352" s="10" t="inlineStr">
        <is>
          <t>MP0350</t>
        </is>
      </c>
      <c r="B352" s="10" t="inlineStr">
        <is>
          <t>Génération avant 2005</t>
        </is>
      </c>
      <c r="C352" s="11" t="n">
        <v>2001</v>
      </c>
      <c r="D352" s="13" t="n">
        <v>0.025</v>
      </c>
      <c r="E352" s="11" t="n">
        <v>74</v>
      </c>
      <c r="F352" s="11" t="n">
        <v>24</v>
      </c>
      <c r="G352" s="19" t="n">
        <v>6</v>
      </c>
      <c r="H352" s="20" t="n">
        <v>0.5639999999999999</v>
      </c>
      <c r="I352" s="13" t="n">
        <v>0.0223</v>
      </c>
    </row>
    <row r="353">
      <c r="A353" s="10" t="inlineStr">
        <is>
          <t>MP0351</t>
        </is>
      </c>
      <c r="B353" s="10" t="inlineStr">
        <is>
          <t>Génération avant 2005</t>
        </is>
      </c>
      <c r="C353" s="11" t="n">
        <v>1993</v>
      </c>
      <c r="D353" s="13" t="n">
        <v>0.025</v>
      </c>
      <c r="E353" s="11" t="n">
        <v>71</v>
      </c>
      <c r="F353" s="11" t="n">
        <v>32</v>
      </c>
      <c r="G353" s="19" t="n">
        <v>12</v>
      </c>
      <c r="H353" s="20" t="n">
        <v>0.195</v>
      </c>
      <c r="I353" s="13" t="n">
        <v>0.0266</v>
      </c>
    </row>
    <row r="354">
      <c r="A354" s="10" t="inlineStr">
        <is>
          <t>MP0352</t>
        </is>
      </c>
      <c r="B354" s="10" t="inlineStr">
        <is>
          <t>Génération avant 2005</t>
        </is>
      </c>
      <c r="C354" s="11" t="n">
        <v>1993</v>
      </c>
      <c r="D354" s="13" t="n">
        <v>0.025</v>
      </c>
      <c r="E354" s="11" t="n">
        <v>72</v>
      </c>
      <c r="F354" s="11" t="n">
        <v>32</v>
      </c>
      <c r="G354" s="19" t="n">
        <v>48</v>
      </c>
      <c r="H354" s="20" t="n">
        <v>0.93</v>
      </c>
      <c r="I354" s="13" t="n">
        <v>0.0283</v>
      </c>
    </row>
    <row r="355">
      <c r="A355" s="10" t="inlineStr">
        <is>
          <t>MP0353</t>
        </is>
      </c>
      <c r="B355" s="10" t="inlineStr">
        <is>
          <t>Génération avant 2005</t>
        </is>
      </c>
      <c r="C355" s="11" t="n">
        <v>1999</v>
      </c>
      <c r="D355" s="13" t="n">
        <v>0.025</v>
      </c>
      <c r="E355" s="11" t="n">
        <v>77</v>
      </c>
      <c r="F355" s="11" t="n">
        <v>26</v>
      </c>
      <c r="G355" s="19" t="n">
        <v>5</v>
      </c>
      <c r="H355" s="20" t="n">
        <v>0.167</v>
      </c>
      <c r="I355" s="13" t="n">
        <v>0.0182</v>
      </c>
    </row>
    <row r="356">
      <c r="A356" s="10" t="inlineStr">
        <is>
          <t>MP0354</t>
        </is>
      </c>
      <c r="B356" s="10" t="inlineStr">
        <is>
          <t>Génération avant 2005</t>
        </is>
      </c>
      <c r="C356" s="11" t="n">
        <v>2000</v>
      </c>
      <c r="D356" s="13" t="n">
        <v>0.025</v>
      </c>
      <c r="E356" s="11" t="n">
        <v>65</v>
      </c>
      <c r="F356" s="11" t="n">
        <v>25</v>
      </c>
      <c r="G356" s="19" t="n">
        <v>39</v>
      </c>
      <c r="H356" s="20" t="n">
        <v>1.244</v>
      </c>
      <c r="I356" s="13" t="n">
        <v>0.0157</v>
      </c>
    </row>
    <row r="357">
      <c r="A357" s="10" t="inlineStr">
        <is>
          <t>MP0355</t>
        </is>
      </c>
      <c r="B357" s="10" t="inlineStr">
        <is>
          <t>Génération avant 2005</t>
        </is>
      </c>
      <c r="C357" s="11" t="n">
        <v>1993</v>
      </c>
      <c r="D357" s="13" t="n">
        <v>0.025</v>
      </c>
      <c r="E357" s="11" t="n">
        <v>74</v>
      </c>
      <c r="F357" s="11" t="n">
        <v>32</v>
      </c>
      <c r="G357" s="19" t="n">
        <v>22</v>
      </c>
      <c r="H357" s="20" t="n">
        <v>0.756</v>
      </c>
      <c r="I357" s="13" t="n">
        <v>0.0185</v>
      </c>
    </row>
    <row r="358">
      <c r="A358" s="10" t="inlineStr">
        <is>
          <t>MP0356</t>
        </is>
      </c>
      <c r="B358" s="10" t="inlineStr">
        <is>
          <t>Génération avant 2005</t>
        </is>
      </c>
      <c r="C358" s="11" t="n">
        <v>1998</v>
      </c>
      <c r="D358" s="13" t="n">
        <v>0.025</v>
      </c>
      <c r="E358" s="11" t="n">
        <v>78</v>
      </c>
      <c r="F358" s="11" t="n">
        <v>27</v>
      </c>
      <c r="G358" s="19" t="n">
        <v>81</v>
      </c>
      <c r="H358" s="20" t="n">
        <v>4.601</v>
      </c>
      <c r="I358" s="13" t="n">
        <v>0.0242</v>
      </c>
    </row>
    <row r="359">
      <c r="A359" s="10" t="inlineStr">
        <is>
          <t>MP0357</t>
        </is>
      </c>
      <c r="B359" s="10" t="inlineStr">
        <is>
          <t>Génération avant 2005</t>
        </is>
      </c>
      <c r="C359" s="11" t="n">
        <v>2003</v>
      </c>
      <c r="D359" s="13" t="n">
        <v>0.025</v>
      </c>
      <c r="E359" s="11" t="n">
        <v>72</v>
      </c>
      <c r="F359" s="11" t="n">
        <v>22</v>
      </c>
      <c r="G359" s="19" t="n">
        <v>12</v>
      </c>
      <c r="H359" s="20" t="n">
        <v>0.283</v>
      </c>
      <c r="I359" s="13" t="n">
        <v>0.0252</v>
      </c>
    </row>
    <row r="360">
      <c r="A360" s="10" t="inlineStr">
        <is>
          <t>MP0358</t>
        </is>
      </c>
      <c r="B360" s="10" t="inlineStr">
        <is>
          <t>Génération avant 2005</t>
        </is>
      </c>
      <c r="C360" s="11" t="n">
        <v>2003</v>
      </c>
      <c r="D360" s="13" t="n">
        <v>0.025</v>
      </c>
      <c r="E360" s="11" t="n">
        <v>62</v>
      </c>
      <c r="F360" s="11" t="n">
        <v>22</v>
      </c>
      <c r="G360" s="19" t="n">
        <v>12</v>
      </c>
      <c r="H360" s="20" t="n">
        <v>0.628</v>
      </c>
      <c r="I360" s="13" t="n">
        <v>0.0203</v>
      </c>
    </row>
    <row r="361">
      <c r="A361" s="10" t="inlineStr">
        <is>
          <t>MP0359</t>
        </is>
      </c>
      <c r="B361" s="10" t="inlineStr">
        <is>
          <t>Génération avant 2005</t>
        </is>
      </c>
      <c r="C361" s="11" t="n">
        <v>2001</v>
      </c>
      <c r="D361" s="13" t="n">
        <v>0.025</v>
      </c>
      <c r="E361" s="11" t="n">
        <v>72</v>
      </c>
      <c r="F361" s="11" t="n">
        <v>24</v>
      </c>
      <c r="G361" s="19" t="n">
        <v>51</v>
      </c>
      <c r="H361" s="20" t="n">
        <v>2.873</v>
      </c>
      <c r="I361" s="13" t="n">
        <v>0.0075</v>
      </c>
    </row>
    <row r="362">
      <c r="A362" s="10" t="inlineStr">
        <is>
          <t>MP0360</t>
        </is>
      </c>
      <c r="B362" s="10" t="inlineStr">
        <is>
          <t>Génération avant 2005</t>
        </is>
      </c>
      <c r="C362" s="11" t="n">
        <v>1990</v>
      </c>
      <c r="D362" s="13" t="n">
        <v>0.025</v>
      </c>
      <c r="E362" s="11" t="n">
        <v>44</v>
      </c>
      <c r="F362" s="11" t="n">
        <v>35</v>
      </c>
      <c r="G362" s="19" t="n">
        <v>57</v>
      </c>
      <c r="H362" s="20" t="n">
        <v>1.768</v>
      </c>
      <c r="I362" s="13" t="n">
        <v>0.0312</v>
      </c>
    </row>
    <row r="363">
      <c r="A363" s="10" t="inlineStr">
        <is>
          <t>MP0361</t>
        </is>
      </c>
      <c r="B363" s="10" t="inlineStr">
        <is>
          <t>Génération avant 2005</t>
        </is>
      </c>
      <c r="C363" s="11" t="n">
        <v>1999</v>
      </c>
      <c r="D363" s="13" t="n">
        <v>0.025</v>
      </c>
      <c r="E363" s="11" t="n">
        <v>65</v>
      </c>
      <c r="F363" s="11" t="n">
        <v>26</v>
      </c>
      <c r="G363" s="19" t="n">
        <v>19</v>
      </c>
      <c r="H363" s="20" t="n">
        <v>0.391</v>
      </c>
      <c r="I363" s="13" t="n">
        <v>0.0184</v>
      </c>
    </row>
    <row r="364">
      <c r="A364" s="10" t="inlineStr">
        <is>
          <t>MP0362</t>
        </is>
      </c>
      <c r="B364" s="10" t="inlineStr">
        <is>
          <t>Génération avant 2005</t>
        </is>
      </c>
      <c r="C364" s="11" t="n">
        <v>2000</v>
      </c>
      <c r="D364" s="13" t="n">
        <v>0.025</v>
      </c>
      <c r="E364" s="11" t="n">
        <v>50</v>
      </c>
      <c r="F364" s="11" t="n">
        <v>25</v>
      </c>
      <c r="G364" s="19" t="n">
        <v>11</v>
      </c>
      <c r="H364" s="20" t="n">
        <v>0.8149999999999999</v>
      </c>
      <c r="I364" s="13" t="n">
        <v>0.0247</v>
      </c>
    </row>
    <row r="365">
      <c r="A365" s="10" t="inlineStr">
        <is>
          <t>MP0363</t>
        </is>
      </c>
      <c r="B365" s="10" t="inlineStr">
        <is>
          <t>Génération avant 2005</t>
        </is>
      </c>
      <c r="C365" s="11" t="n">
        <v>2000</v>
      </c>
      <c r="D365" s="13" t="n">
        <v>0.025</v>
      </c>
      <c r="E365" s="11" t="n">
        <v>57</v>
      </c>
      <c r="F365" s="11" t="n">
        <v>25</v>
      </c>
      <c r="G365" s="19" t="n">
        <v>21</v>
      </c>
      <c r="H365" s="20" t="n">
        <v>0.6830000000000001</v>
      </c>
      <c r="I365" s="13" t="n">
        <v>0.0189</v>
      </c>
    </row>
    <row r="366">
      <c r="A366" s="10" t="inlineStr">
        <is>
          <t>MP0364</t>
        </is>
      </c>
      <c r="B366" s="10" t="inlineStr">
        <is>
          <t>Génération avant 2005</t>
        </is>
      </c>
      <c r="C366" s="11" t="n">
        <v>1990</v>
      </c>
      <c r="D366" s="13" t="n">
        <v>0.025</v>
      </c>
      <c r="E366" s="11" t="n">
        <v>78</v>
      </c>
      <c r="F366" s="11" t="n">
        <v>35</v>
      </c>
      <c r="G366" s="19" t="n">
        <v>48</v>
      </c>
      <c r="H366" s="20" t="n">
        <v>0.854</v>
      </c>
      <c r="I366" s="13" t="n">
        <v>0.0226</v>
      </c>
    </row>
    <row r="367">
      <c r="A367" s="10" t="inlineStr">
        <is>
          <t>MP0365</t>
        </is>
      </c>
      <c r="B367" s="10" t="inlineStr">
        <is>
          <t>Génération avant 2005</t>
        </is>
      </c>
      <c r="C367" s="11" t="n">
        <v>1995</v>
      </c>
      <c r="D367" s="13" t="n">
        <v>0.025</v>
      </c>
      <c r="E367" s="11" t="n">
        <v>62</v>
      </c>
      <c r="F367" s="11" t="n">
        <v>30</v>
      </c>
      <c r="G367" s="19" t="n">
        <v>4</v>
      </c>
      <c r="H367" s="20" t="n">
        <v>0.39</v>
      </c>
      <c r="I367" s="13" t="n">
        <v>0.0169</v>
      </c>
    </row>
    <row r="368">
      <c r="A368" s="10" t="inlineStr">
        <is>
          <t>MP0366</t>
        </is>
      </c>
      <c r="B368" s="10" t="inlineStr">
        <is>
          <t>Génération avant 2005</t>
        </is>
      </c>
      <c r="C368" s="11" t="n">
        <v>2004</v>
      </c>
      <c r="D368" s="13" t="n">
        <v>0.025</v>
      </c>
      <c r="E368" s="11" t="n">
        <v>66</v>
      </c>
      <c r="F368" s="11" t="n">
        <v>21</v>
      </c>
      <c r="G368" s="19" t="n">
        <v>27</v>
      </c>
      <c r="H368" s="20" t="n">
        <v>0.635</v>
      </c>
      <c r="I368" s="13" t="n">
        <v>0.0209</v>
      </c>
    </row>
    <row r="369">
      <c r="A369" s="10" t="inlineStr">
        <is>
          <t>MP0367</t>
        </is>
      </c>
      <c r="B369" s="10" t="inlineStr">
        <is>
          <t>Génération avant 2005</t>
        </is>
      </c>
      <c r="C369" s="11" t="n">
        <v>2002</v>
      </c>
      <c r="D369" s="13" t="n">
        <v>0.025</v>
      </c>
      <c r="E369" s="11" t="n">
        <v>59</v>
      </c>
      <c r="F369" s="11" t="n">
        <v>23</v>
      </c>
      <c r="G369" s="19" t="n">
        <v>8</v>
      </c>
      <c r="H369" s="20" t="n">
        <v>0.19</v>
      </c>
      <c r="I369" s="13" t="n">
        <v>0.0256</v>
      </c>
    </row>
    <row r="370">
      <c r="A370" s="10" t="inlineStr">
        <is>
          <t>MP0368</t>
        </is>
      </c>
      <c r="B370" s="10" t="inlineStr">
        <is>
          <t>Génération avant 2005</t>
        </is>
      </c>
      <c r="C370" s="11" t="n">
        <v>1991</v>
      </c>
      <c r="D370" s="13" t="n">
        <v>0.025</v>
      </c>
      <c r="E370" s="11" t="n">
        <v>51</v>
      </c>
      <c r="F370" s="11" t="n">
        <v>34</v>
      </c>
      <c r="G370" s="19" t="n">
        <v>21</v>
      </c>
      <c r="H370" s="20" t="n">
        <v>0.759</v>
      </c>
      <c r="I370" s="13" t="n">
        <v>0.0142</v>
      </c>
    </row>
    <row r="371">
      <c r="A371" s="10" t="inlineStr">
        <is>
          <t>MP0369</t>
        </is>
      </c>
      <c r="B371" s="10" t="inlineStr">
        <is>
          <t>Génération avant 2005</t>
        </is>
      </c>
      <c r="C371" s="11" t="n">
        <v>2000</v>
      </c>
      <c r="D371" s="13" t="n">
        <v>0.025</v>
      </c>
      <c r="E371" s="11" t="n">
        <v>61</v>
      </c>
      <c r="F371" s="11" t="n">
        <v>25</v>
      </c>
      <c r="G371" s="19" t="n">
        <v>36</v>
      </c>
      <c r="H371" s="20" t="n">
        <v>0.977</v>
      </c>
      <c r="I371" s="13" t="n">
        <v>0.0198</v>
      </c>
    </row>
    <row r="372">
      <c r="A372" s="10" t="inlineStr">
        <is>
          <t>MP0370</t>
        </is>
      </c>
      <c r="B372" s="10" t="inlineStr">
        <is>
          <t>Génération avant 2005</t>
        </is>
      </c>
      <c r="C372" s="11" t="n">
        <v>1996</v>
      </c>
      <c r="D372" s="13" t="n">
        <v>0.025</v>
      </c>
      <c r="E372" s="11" t="n">
        <v>70</v>
      </c>
      <c r="F372" s="11" t="n">
        <v>29</v>
      </c>
      <c r="G372" s="19" t="n">
        <v>11</v>
      </c>
      <c r="H372" s="20" t="n">
        <v>0.5679999999999999</v>
      </c>
      <c r="I372" s="13" t="n">
        <v>0.0143</v>
      </c>
    </row>
    <row r="373">
      <c r="A373" s="10" t="inlineStr">
        <is>
          <t>MP0371</t>
        </is>
      </c>
      <c r="B373" s="10" t="inlineStr">
        <is>
          <t>Génération avant 2005</t>
        </is>
      </c>
      <c r="C373" s="11" t="n">
        <v>1997</v>
      </c>
      <c r="D373" s="13" t="n">
        <v>0.025</v>
      </c>
      <c r="E373" s="11" t="n">
        <v>63</v>
      </c>
      <c r="F373" s="11" t="n">
        <v>28</v>
      </c>
      <c r="G373" s="19" t="n">
        <v>4</v>
      </c>
      <c r="H373" s="20" t="n">
        <v>0.187</v>
      </c>
      <c r="I373" s="13" t="n">
        <v>0.0189</v>
      </c>
    </row>
    <row r="374">
      <c r="A374" s="10" t="inlineStr">
        <is>
          <t>MP0372</t>
        </is>
      </c>
      <c r="B374" s="10" t="inlineStr">
        <is>
          <t>Génération avant 2005</t>
        </is>
      </c>
      <c r="C374" s="11" t="n">
        <v>1990</v>
      </c>
      <c r="D374" s="13" t="n">
        <v>0.025</v>
      </c>
      <c r="E374" s="11" t="n">
        <v>61</v>
      </c>
      <c r="F374" s="11" t="n">
        <v>35</v>
      </c>
      <c r="G374" s="19" t="n">
        <v>41</v>
      </c>
      <c r="H374" s="20" t="n">
        <v>1.503</v>
      </c>
      <c r="I374" s="13" t="n">
        <v>0.0215</v>
      </c>
    </row>
    <row r="375">
      <c r="A375" s="10" t="inlineStr">
        <is>
          <t>MP0373</t>
        </is>
      </c>
      <c r="B375" s="10" t="inlineStr">
        <is>
          <t>Génération avant 2005</t>
        </is>
      </c>
      <c r="C375" s="11" t="n">
        <v>1996</v>
      </c>
      <c r="D375" s="13" t="n">
        <v>0.025</v>
      </c>
      <c r="E375" s="11" t="n">
        <v>71</v>
      </c>
      <c r="F375" s="11" t="n">
        <v>29</v>
      </c>
      <c r="G375" s="19" t="n">
        <v>29</v>
      </c>
      <c r="H375" s="20" t="n">
        <v>0.912</v>
      </c>
      <c r="I375" s="13" t="n">
        <v>0.0234</v>
      </c>
    </row>
    <row r="376">
      <c r="A376" s="10" t="inlineStr">
        <is>
          <t>MP0374</t>
        </is>
      </c>
      <c r="B376" s="10" t="inlineStr">
        <is>
          <t>Génération avant 2005</t>
        </is>
      </c>
      <c r="C376" s="11" t="n">
        <v>1994</v>
      </c>
      <c r="D376" s="13" t="n">
        <v>0.025</v>
      </c>
      <c r="E376" s="11" t="n">
        <v>63</v>
      </c>
      <c r="F376" s="11" t="n">
        <v>31</v>
      </c>
      <c r="G376" s="19" t="n">
        <v>7</v>
      </c>
      <c r="H376" s="20" t="n">
        <v>0.381</v>
      </c>
      <c r="I376" s="13" t="n">
        <v>0.0264</v>
      </c>
    </row>
    <row r="377">
      <c r="A377" s="10" t="inlineStr">
        <is>
          <t>MP0375</t>
        </is>
      </c>
      <c r="B377" s="10" t="inlineStr">
        <is>
          <t>Génération avant 2005</t>
        </is>
      </c>
      <c r="C377" s="11" t="n">
        <v>1992</v>
      </c>
      <c r="D377" s="13" t="n">
        <v>0.025</v>
      </c>
      <c r="E377" s="11" t="n">
        <v>70</v>
      </c>
      <c r="F377" s="11" t="n">
        <v>33</v>
      </c>
      <c r="G377" s="19" t="n">
        <v>16</v>
      </c>
      <c r="H377" s="20" t="n">
        <v>0.545</v>
      </c>
      <c r="I377" s="13" t="n">
        <v>0.0298</v>
      </c>
    </row>
    <row r="378">
      <c r="A378" s="10" t="inlineStr">
        <is>
          <t>MP0376</t>
        </is>
      </c>
      <c r="B378" s="10" t="inlineStr">
        <is>
          <t>Génération avant 2005</t>
        </is>
      </c>
      <c r="C378" s="11" t="n">
        <v>1998</v>
      </c>
      <c r="D378" s="13" t="n">
        <v>0.025</v>
      </c>
      <c r="E378" s="11" t="n">
        <v>66</v>
      </c>
      <c r="F378" s="11" t="n">
        <v>27</v>
      </c>
      <c r="G378" s="19" t="n">
        <v>4</v>
      </c>
      <c r="H378" s="20" t="n">
        <v>0.205</v>
      </c>
      <c r="I378" s="13" t="n">
        <v>0.0352</v>
      </c>
    </row>
    <row r="379">
      <c r="A379" s="10" t="inlineStr">
        <is>
          <t>MP0377</t>
        </is>
      </c>
      <c r="B379" s="10" t="inlineStr">
        <is>
          <t>Génération avant 2005</t>
        </is>
      </c>
      <c r="C379" s="11" t="n">
        <v>1997</v>
      </c>
      <c r="D379" s="13" t="n">
        <v>0.025</v>
      </c>
      <c r="E379" s="11" t="n">
        <v>57</v>
      </c>
      <c r="F379" s="11" t="n">
        <v>28</v>
      </c>
      <c r="G379" s="19" t="n">
        <v>4</v>
      </c>
      <c r="H379" s="20" t="n">
        <v>0.3</v>
      </c>
      <c r="I379" s="13" t="n">
        <v>0.0136</v>
      </c>
    </row>
    <row r="380">
      <c r="A380" s="10" t="inlineStr">
        <is>
          <t>MP0378</t>
        </is>
      </c>
      <c r="B380" s="10" t="inlineStr">
        <is>
          <t>Génération avant 2005</t>
        </is>
      </c>
      <c r="C380" s="11" t="n">
        <v>1996</v>
      </c>
      <c r="D380" s="13" t="n">
        <v>0.025</v>
      </c>
      <c r="E380" s="11" t="n">
        <v>83</v>
      </c>
      <c r="F380" s="11" t="n">
        <v>29</v>
      </c>
      <c r="G380" s="19" t="n">
        <v>8</v>
      </c>
      <c r="H380" s="20" t="n">
        <v>0.443</v>
      </c>
      <c r="I380" s="13" t="n">
        <v>0.026</v>
      </c>
    </row>
    <row r="381">
      <c r="A381" s="10" t="inlineStr">
        <is>
          <t>MP0379</t>
        </is>
      </c>
      <c r="B381" s="10" t="inlineStr">
        <is>
          <t>Génération avant 2005</t>
        </is>
      </c>
      <c r="C381" s="11" t="n">
        <v>1990</v>
      </c>
      <c r="D381" s="13" t="n">
        <v>0.025</v>
      </c>
      <c r="E381" s="11" t="n">
        <v>66</v>
      </c>
      <c r="F381" s="11" t="n">
        <v>35</v>
      </c>
      <c r="G381" s="19" t="n">
        <v>42</v>
      </c>
      <c r="H381" s="20" t="n">
        <v>1.821</v>
      </c>
      <c r="I381" s="13" t="n">
        <v>0.0235</v>
      </c>
    </row>
    <row r="382">
      <c r="A382" s="10" t="inlineStr">
        <is>
          <t>MP0380</t>
        </is>
      </c>
      <c r="B382" s="10" t="inlineStr">
        <is>
          <t>Génération avant 2005</t>
        </is>
      </c>
      <c r="C382" s="11" t="n">
        <v>1993</v>
      </c>
      <c r="D382" s="13" t="n">
        <v>0.025</v>
      </c>
      <c r="E382" s="11" t="n">
        <v>68</v>
      </c>
      <c r="F382" s="11" t="n">
        <v>32</v>
      </c>
      <c r="G382" s="19" t="n">
        <v>8</v>
      </c>
      <c r="H382" s="20" t="n">
        <v>0.409</v>
      </c>
      <c r="I382" s="13" t="n">
        <v>0.0204</v>
      </c>
    </row>
    <row r="383">
      <c r="A383" s="10" t="inlineStr">
        <is>
          <t>MP0381</t>
        </is>
      </c>
      <c r="B383" s="10" t="inlineStr">
        <is>
          <t>Génération avant 2005</t>
        </is>
      </c>
      <c r="C383" s="11" t="n">
        <v>1998</v>
      </c>
      <c r="D383" s="13" t="n">
        <v>0.025</v>
      </c>
      <c r="E383" s="11" t="n">
        <v>61</v>
      </c>
      <c r="F383" s="11" t="n">
        <v>27</v>
      </c>
      <c r="G383" s="19" t="n">
        <v>53</v>
      </c>
      <c r="H383" s="20" t="n">
        <v>1.138</v>
      </c>
      <c r="I383" s="13" t="n">
        <v>0.0273</v>
      </c>
    </row>
    <row r="384">
      <c r="A384" s="10" t="inlineStr">
        <is>
          <t>MP0382</t>
        </is>
      </c>
      <c r="B384" s="10" t="inlineStr">
        <is>
          <t>Génération avant 2005</t>
        </is>
      </c>
      <c r="C384" s="11" t="n">
        <v>2002</v>
      </c>
      <c r="D384" s="13" t="n">
        <v>0.025</v>
      </c>
      <c r="E384" s="11" t="n">
        <v>69</v>
      </c>
      <c r="F384" s="11" t="n">
        <v>23</v>
      </c>
      <c r="G384" s="19" t="n">
        <v>6</v>
      </c>
      <c r="H384" s="20" t="n">
        <v>0.443</v>
      </c>
      <c r="I384" s="13" t="n">
        <v>0.0255</v>
      </c>
    </row>
    <row r="385">
      <c r="A385" s="10" t="inlineStr">
        <is>
          <t>MP0383</t>
        </is>
      </c>
      <c r="B385" s="10" t="inlineStr">
        <is>
          <t>Génération avant 2005</t>
        </is>
      </c>
      <c r="C385" s="11" t="n">
        <v>2004</v>
      </c>
      <c r="D385" s="13" t="n">
        <v>0.025</v>
      </c>
      <c r="E385" s="11" t="n">
        <v>69</v>
      </c>
      <c r="F385" s="11" t="n">
        <v>21</v>
      </c>
      <c r="G385" s="19" t="n">
        <v>17</v>
      </c>
      <c r="H385" s="20" t="n">
        <v>0.831</v>
      </c>
      <c r="I385" s="13" t="n">
        <v>0.0245</v>
      </c>
    </row>
    <row r="386">
      <c r="A386" s="10" t="inlineStr">
        <is>
          <t>MP0384</t>
        </is>
      </c>
      <c r="B386" s="10" t="inlineStr">
        <is>
          <t>Génération avant 2005</t>
        </is>
      </c>
      <c r="C386" s="11" t="n">
        <v>1994</v>
      </c>
      <c r="D386" s="13" t="n">
        <v>0.025</v>
      </c>
      <c r="E386" s="11" t="n">
        <v>90</v>
      </c>
      <c r="F386" s="11" t="n">
        <v>31</v>
      </c>
      <c r="G386" s="19" t="n">
        <v>18</v>
      </c>
      <c r="H386" s="20" t="n">
        <v>0.609</v>
      </c>
      <c r="I386" s="13" t="n">
        <v>0.021</v>
      </c>
    </row>
    <row r="387">
      <c r="A387" s="10" t="inlineStr">
        <is>
          <t>MP0385</t>
        </is>
      </c>
      <c r="B387" s="10" t="inlineStr">
        <is>
          <t>Génération avant 2005</t>
        </is>
      </c>
      <c r="C387" s="11" t="n">
        <v>2003</v>
      </c>
      <c r="D387" s="13" t="n">
        <v>0.025</v>
      </c>
      <c r="E387" s="11" t="n">
        <v>70</v>
      </c>
      <c r="F387" s="11" t="n">
        <v>22</v>
      </c>
      <c r="G387" s="19" t="n">
        <v>28</v>
      </c>
      <c r="H387" s="20" t="n">
        <v>1.371</v>
      </c>
      <c r="I387" s="13" t="n">
        <v>0.0166</v>
      </c>
    </row>
    <row r="388">
      <c r="A388" s="10" t="inlineStr">
        <is>
          <t>MP0386</t>
        </is>
      </c>
      <c r="B388" s="10" t="inlineStr">
        <is>
          <t>Génération avant 2005</t>
        </is>
      </c>
      <c r="C388" s="11" t="n">
        <v>1991</v>
      </c>
      <c r="D388" s="13" t="n">
        <v>0.025</v>
      </c>
      <c r="E388" s="11" t="n">
        <v>70</v>
      </c>
      <c r="F388" s="11" t="n">
        <v>34</v>
      </c>
      <c r="G388" s="19" t="n">
        <v>18</v>
      </c>
      <c r="H388" s="20" t="n">
        <v>0.444</v>
      </c>
      <c r="I388" s="13" t="n">
        <v>0.0321</v>
      </c>
    </row>
    <row r="389">
      <c r="A389" s="10" t="inlineStr">
        <is>
          <t>MP0387</t>
        </is>
      </c>
      <c r="B389" s="10" t="inlineStr">
        <is>
          <t>Génération avant 2005</t>
        </is>
      </c>
      <c r="C389" s="11" t="n">
        <v>2004</v>
      </c>
      <c r="D389" s="13" t="n">
        <v>0.025</v>
      </c>
      <c r="E389" s="11" t="n">
        <v>72</v>
      </c>
      <c r="F389" s="11" t="n">
        <v>21</v>
      </c>
      <c r="G389" s="19" t="n">
        <v>8</v>
      </c>
      <c r="H389" s="20" t="n">
        <v>0.194</v>
      </c>
      <c r="I389" s="13" t="n">
        <v>0.0357</v>
      </c>
    </row>
    <row r="390">
      <c r="A390" s="10" t="inlineStr">
        <is>
          <t>MP0388</t>
        </is>
      </c>
      <c r="B390" s="10" t="inlineStr">
        <is>
          <t>Génération avant 2005</t>
        </is>
      </c>
      <c r="C390" s="11" t="n">
        <v>1994</v>
      </c>
      <c r="D390" s="13" t="n">
        <v>0.025</v>
      </c>
      <c r="E390" s="11" t="n">
        <v>70</v>
      </c>
      <c r="F390" s="11" t="n">
        <v>31</v>
      </c>
      <c r="G390" s="19" t="n">
        <v>2</v>
      </c>
      <c r="H390" s="20" t="n">
        <v>0.226</v>
      </c>
      <c r="I390" s="13" t="n">
        <v>0.026</v>
      </c>
    </row>
    <row r="391">
      <c r="A391" s="10" t="inlineStr">
        <is>
          <t>MP0389</t>
        </is>
      </c>
      <c r="B391" s="10" t="inlineStr">
        <is>
          <t>Génération avant 2005</t>
        </is>
      </c>
      <c r="C391" s="11" t="n">
        <v>1997</v>
      </c>
      <c r="D391" s="13" t="n">
        <v>0.025</v>
      </c>
      <c r="E391" s="11" t="n">
        <v>68</v>
      </c>
      <c r="F391" s="11" t="n">
        <v>28</v>
      </c>
      <c r="G391" s="19" t="n">
        <v>14</v>
      </c>
      <c r="H391" s="20" t="n">
        <v>0.445</v>
      </c>
      <c r="I391" s="13" t="n">
        <v>0.0285</v>
      </c>
    </row>
    <row r="392">
      <c r="A392" s="10" t="inlineStr">
        <is>
          <t>MP0390</t>
        </is>
      </c>
      <c r="B392" s="10" t="inlineStr">
        <is>
          <t>Génération avant 2005</t>
        </is>
      </c>
      <c r="C392" s="11" t="n">
        <v>1990</v>
      </c>
      <c r="D392" s="13" t="n">
        <v>0.025</v>
      </c>
      <c r="E392" s="11" t="n">
        <v>72</v>
      </c>
      <c r="F392" s="11" t="n">
        <v>35</v>
      </c>
      <c r="G392" s="19" t="n">
        <v>8</v>
      </c>
      <c r="H392" s="20" t="n">
        <v>0.251</v>
      </c>
      <c r="I392" s="13" t="n">
        <v>0.0258</v>
      </c>
    </row>
    <row r="393">
      <c r="A393" s="10" t="inlineStr">
        <is>
          <t>MP0391</t>
        </is>
      </c>
      <c r="B393" s="10" t="inlineStr">
        <is>
          <t>Génération avant 2005</t>
        </is>
      </c>
      <c r="C393" s="11" t="n">
        <v>2003</v>
      </c>
      <c r="D393" s="13" t="n">
        <v>0.025</v>
      </c>
      <c r="E393" s="11" t="n">
        <v>66</v>
      </c>
      <c r="F393" s="11" t="n">
        <v>22</v>
      </c>
      <c r="G393" s="19" t="n">
        <v>43</v>
      </c>
      <c r="H393" s="20" t="n">
        <v>0.946</v>
      </c>
      <c r="I393" s="13" t="n">
        <v>0.0162</v>
      </c>
    </row>
    <row r="394">
      <c r="A394" s="10" t="inlineStr">
        <is>
          <t>MP0392</t>
        </is>
      </c>
      <c r="B394" s="10" t="inlineStr">
        <is>
          <t>Génération avant 2005</t>
        </is>
      </c>
      <c r="C394" s="11" t="n">
        <v>1991</v>
      </c>
      <c r="D394" s="13" t="n">
        <v>0.025</v>
      </c>
      <c r="E394" s="11" t="n">
        <v>48</v>
      </c>
      <c r="F394" s="11" t="n">
        <v>34</v>
      </c>
      <c r="G394" s="19" t="n">
        <v>10</v>
      </c>
      <c r="H394" s="20" t="n">
        <v>0.47</v>
      </c>
      <c r="I394" s="13" t="n">
        <v>0.0221</v>
      </c>
    </row>
    <row r="395">
      <c r="A395" s="10" t="inlineStr">
        <is>
          <t>MP0393</t>
        </is>
      </c>
      <c r="B395" s="10" t="inlineStr">
        <is>
          <t>Génération avant 2005</t>
        </is>
      </c>
      <c r="C395" s="11" t="n">
        <v>1994</v>
      </c>
      <c r="D395" s="13" t="n">
        <v>0.025</v>
      </c>
      <c r="E395" s="11" t="n">
        <v>82</v>
      </c>
      <c r="F395" s="11" t="n">
        <v>31</v>
      </c>
      <c r="G395" s="19" t="n">
        <v>138</v>
      </c>
      <c r="H395" s="20" t="n">
        <v>4.556</v>
      </c>
      <c r="I395" s="13" t="n">
        <v>0.029</v>
      </c>
    </row>
    <row r="396">
      <c r="A396" s="10" t="inlineStr">
        <is>
          <t>MP0394</t>
        </is>
      </c>
      <c r="B396" s="10" t="inlineStr">
        <is>
          <t>Génération avant 2005</t>
        </is>
      </c>
      <c r="C396" s="11" t="n">
        <v>1992</v>
      </c>
      <c r="D396" s="13" t="n">
        <v>0.025</v>
      </c>
      <c r="E396" s="11" t="n">
        <v>72</v>
      </c>
      <c r="F396" s="11" t="n">
        <v>33</v>
      </c>
      <c r="G396" s="19" t="n">
        <v>2</v>
      </c>
      <c r="H396" s="20" t="n">
        <v>0.17</v>
      </c>
      <c r="I396" s="13" t="n">
        <v>0.0222</v>
      </c>
    </row>
    <row r="397">
      <c r="A397" s="10" t="inlineStr">
        <is>
          <t>MP0395</t>
        </is>
      </c>
      <c r="B397" s="10" t="inlineStr">
        <is>
          <t>Génération avant 2005</t>
        </is>
      </c>
      <c r="C397" s="11" t="n">
        <v>1990</v>
      </c>
      <c r="D397" s="13" t="n">
        <v>0.025</v>
      </c>
      <c r="E397" s="11" t="n">
        <v>80</v>
      </c>
      <c r="F397" s="11" t="n">
        <v>35</v>
      </c>
      <c r="G397" s="19" t="n">
        <v>31</v>
      </c>
      <c r="H397" s="20" t="n">
        <v>0.802</v>
      </c>
      <c r="I397" s="13" t="n">
        <v>0.0268</v>
      </c>
    </row>
    <row r="398">
      <c r="A398" s="10" t="inlineStr">
        <is>
          <t>MP0396</t>
        </is>
      </c>
      <c r="B398" s="10" t="inlineStr">
        <is>
          <t>Génération avant 2005</t>
        </is>
      </c>
      <c r="C398" s="11" t="n">
        <v>1997</v>
      </c>
      <c r="D398" s="13" t="n">
        <v>0.025</v>
      </c>
      <c r="E398" s="11" t="n">
        <v>75</v>
      </c>
      <c r="F398" s="11" t="n">
        <v>28</v>
      </c>
      <c r="G398" s="19" t="n">
        <v>2</v>
      </c>
      <c r="H398" s="20" t="n">
        <v>0.276</v>
      </c>
      <c r="I398" s="13" t="n">
        <v>0.0204</v>
      </c>
    </row>
    <row r="399">
      <c r="A399" s="10" t="inlineStr">
        <is>
          <t>MP0397</t>
        </is>
      </c>
      <c r="B399" s="10" t="inlineStr">
        <is>
          <t>Génération avant 2005</t>
        </is>
      </c>
      <c r="C399" s="11" t="n">
        <v>1995</v>
      </c>
      <c r="D399" s="13" t="n">
        <v>0.025</v>
      </c>
      <c r="E399" s="11" t="n">
        <v>57</v>
      </c>
      <c r="F399" s="11" t="n">
        <v>30</v>
      </c>
      <c r="G399" s="19" t="n">
        <v>17</v>
      </c>
      <c r="H399" s="20" t="n">
        <v>0.459</v>
      </c>
      <c r="I399" s="13" t="n">
        <v>0.029</v>
      </c>
    </row>
    <row r="400">
      <c r="A400" s="10" t="inlineStr">
        <is>
          <t>MP0398</t>
        </is>
      </c>
      <c r="B400" s="10" t="inlineStr">
        <is>
          <t>Génération avant 2005</t>
        </is>
      </c>
      <c r="C400" s="11" t="n">
        <v>1993</v>
      </c>
      <c r="D400" s="13" t="n">
        <v>0.025</v>
      </c>
      <c r="E400" s="11" t="n">
        <v>71</v>
      </c>
      <c r="F400" s="11" t="n">
        <v>32</v>
      </c>
      <c r="G400" s="19" t="n">
        <v>31</v>
      </c>
      <c r="H400" s="20" t="n">
        <v>0.763</v>
      </c>
      <c r="I400" s="13" t="n">
        <v>0.0296</v>
      </c>
    </row>
    <row r="401">
      <c r="A401" s="10" t="inlineStr">
        <is>
          <t>MP0399</t>
        </is>
      </c>
      <c r="B401" s="10" t="inlineStr">
        <is>
          <t>Génération avant 2005</t>
        </is>
      </c>
      <c r="C401" s="11" t="n">
        <v>1993</v>
      </c>
      <c r="D401" s="13" t="n">
        <v>0.025</v>
      </c>
      <c r="E401" s="11" t="n">
        <v>59</v>
      </c>
      <c r="F401" s="11" t="n">
        <v>32</v>
      </c>
      <c r="G401" s="19" t="n">
        <v>1</v>
      </c>
      <c r="H401" s="20" t="n">
        <v>0.106</v>
      </c>
      <c r="I401" s="13" t="n">
        <v>0.0421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Année</t>
        </is>
      </c>
      <c r="B1" s="9" t="inlineStr">
        <is>
          <t>OAT 10 ans</t>
        </is>
      </c>
      <c r="C1" s="9" t="inlineStr">
        <is>
          <t>Taux servi moyen</t>
        </is>
      </c>
      <c r="D1" s="9" t="inlineStr">
        <is>
          <t>Taux de rachat observé</t>
        </is>
      </c>
      <c r="E1" s="9" t="inlineStr">
        <is>
          <t>Rendement actions (indice)</t>
        </is>
      </c>
      <c r="G1" s="12" t="inlineStr">
        <is>
          <t>Données synthétiques inspirées de l'historique de marché (indicatif, à remplacer par des données réelles si disponibles).</t>
        </is>
      </c>
    </row>
    <row r="2">
      <c r="A2" s="10" t="n">
        <v>2005</v>
      </c>
      <c r="B2" s="15" t="n">
        <v>0.034</v>
      </c>
      <c r="C2" s="15" t="n">
        <v>0.042</v>
      </c>
      <c r="D2" s="15" t="n">
        <v>0.0243</v>
      </c>
      <c r="E2" s="21" t="n">
        <v>-0.162</v>
      </c>
    </row>
    <row r="3">
      <c r="A3" s="10" t="n">
        <v>2006</v>
      </c>
      <c r="B3" s="15" t="n">
        <v>0.038</v>
      </c>
      <c r="C3" s="15" t="n">
        <v>0.0388</v>
      </c>
      <c r="D3" s="15" t="n">
        <v>0.0336</v>
      </c>
      <c r="E3" s="21" t="n">
        <v>0.064</v>
      </c>
    </row>
    <row r="4">
      <c r="A4" s="10" t="n">
        <v>2007</v>
      </c>
      <c r="B4" s="15" t="n">
        <v>0.043</v>
      </c>
      <c r="C4" s="15" t="n">
        <v>0.0373</v>
      </c>
      <c r="D4" s="15" t="n">
        <v>0.0381</v>
      </c>
      <c r="E4" s="21" t="n">
        <v>0.08</v>
      </c>
    </row>
    <row r="5">
      <c r="A5" s="10" t="n">
        <v>2008</v>
      </c>
      <c r="B5" s="15" t="n">
        <v>0.042</v>
      </c>
      <c r="C5" s="15" t="n">
        <v>0.0375</v>
      </c>
      <c r="D5" s="15" t="n">
        <v>0.0328</v>
      </c>
      <c r="E5" s="21" t="n">
        <v>-0.318</v>
      </c>
    </row>
    <row r="6">
      <c r="A6" s="10" t="n">
        <v>2009</v>
      </c>
      <c r="B6" s="15" t="n">
        <v>0.036</v>
      </c>
      <c r="C6" s="15" t="n">
        <v>0.0374</v>
      </c>
      <c r="D6" s="15" t="n">
        <v>0.0294</v>
      </c>
      <c r="E6" s="21" t="n">
        <v>-0.095</v>
      </c>
    </row>
    <row r="7">
      <c r="A7" s="10" t="n">
        <v>2010</v>
      </c>
      <c r="B7" s="15" t="n">
        <v>0.031</v>
      </c>
      <c r="C7" s="15" t="n">
        <v>0.0358</v>
      </c>
      <c r="D7" s="15" t="n">
        <v>0.0238</v>
      </c>
      <c r="E7" s="21" t="n">
        <v>0.143</v>
      </c>
    </row>
    <row r="8">
      <c r="A8" s="10" t="n">
        <v>2011</v>
      </c>
      <c r="B8" s="15" t="n">
        <v>0.033</v>
      </c>
      <c r="C8" s="15" t="n">
        <v>0.0333</v>
      </c>
      <c r="D8" s="15" t="n">
        <v>0.0281</v>
      </c>
      <c r="E8" s="21" t="n">
        <v>0.14</v>
      </c>
    </row>
    <row r="9">
      <c r="A9" s="10" t="n">
        <v>2012</v>
      </c>
      <c r="B9" s="15" t="n">
        <v>0.02</v>
      </c>
      <c r="C9" s="15" t="n">
        <v>0.032</v>
      </c>
      <c r="D9" s="15" t="n">
        <v>0.0236</v>
      </c>
      <c r="E9" s="21" t="n">
        <v>-0.138</v>
      </c>
    </row>
    <row r="10">
      <c r="A10" s="10" t="n">
        <v>2013</v>
      </c>
      <c r="B10" s="15" t="n">
        <v>0.022</v>
      </c>
      <c r="C10" s="15" t="n">
        <v>0.0277</v>
      </c>
      <c r="D10" s="15" t="n">
        <v>0.0267</v>
      </c>
      <c r="E10" s="21" t="n">
        <v>0.099</v>
      </c>
    </row>
    <row r="11">
      <c r="A11" s="10" t="n">
        <v>2014</v>
      </c>
      <c r="B11" s="15" t="n">
        <v>0.008</v>
      </c>
      <c r="C11" s="15" t="n">
        <v>0.0251</v>
      </c>
      <c r="D11" s="15" t="n">
        <v>0.02</v>
      </c>
      <c r="E11" s="21" t="n">
        <v>0.254</v>
      </c>
    </row>
    <row r="12">
      <c r="A12" s="10" t="n">
        <v>2015</v>
      </c>
      <c r="B12" s="15" t="n">
        <v>0.008999999999999999</v>
      </c>
      <c r="C12" s="15" t="n">
        <v>0.0218</v>
      </c>
      <c r="D12" s="15" t="n">
        <v>0.02</v>
      </c>
      <c r="E12" s="21" t="n">
        <v>0.21</v>
      </c>
    </row>
    <row r="13">
      <c r="A13" s="10" t="n">
        <v>2016</v>
      </c>
      <c r="B13" s="15" t="n">
        <v>0.004</v>
      </c>
      <c r="C13" s="15" t="n">
        <v>0.0193</v>
      </c>
      <c r="D13" s="15" t="n">
        <v>0.02</v>
      </c>
      <c r="E13" s="21" t="n">
        <v>0.053</v>
      </c>
    </row>
    <row r="14">
      <c r="A14" s="10" t="n">
        <v>2017</v>
      </c>
      <c r="B14" s="15" t="n">
        <v>0.008</v>
      </c>
      <c r="C14" s="15" t="n">
        <v>0.0175</v>
      </c>
      <c r="D14" s="15" t="n">
        <v>0.0243</v>
      </c>
      <c r="E14" s="21" t="n">
        <v>-0.014</v>
      </c>
    </row>
    <row r="15">
      <c r="A15" s="10" t="n">
        <v>2018</v>
      </c>
      <c r="B15" s="15" t="n">
        <v>0.007</v>
      </c>
      <c r="C15" s="15" t="n">
        <v>0.0161</v>
      </c>
      <c r="D15" s="15" t="n">
        <v>0.0217</v>
      </c>
      <c r="E15" s="21" t="n">
        <v>-0.043</v>
      </c>
    </row>
    <row r="16">
      <c r="A16" s="10" t="n">
        <v>2019</v>
      </c>
      <c r="B16" s="15" t="n">
        <v>0.001</v>
      </c>
      <c r="C16" s="15" t="n">
        <v>0.0151</v>
      </c>
      <c r="D16" s="15" t="n">
        <v>0.0235</v>
      </c>
      <c r="E16" s="21" t="n">
        <v>0.154</v>
      </c>
    </row>
    <row r="17">
      <c r="A17" s="10" t="n">
        <v>2020</v>
      </c>
      <c r="B17" s="15" t="n">
        <v>-0.003</v>
      </c>
      <c r="C17" s="15" t="n">
        <v>0.0143</v>
      </c>
      <c r="D17" s="15" t="n">
        <v>0.0222</v>
      </c>
      <c r="E17" s="21" t="n">
        <v>0.105</v>
      </c>
    </row>
    <row r="18">
      <c r="A18" s="10" t="n">
        <v>2021</v>
      </c>
      <c r="B18" s="15" t="n">
        <v>0</v>
      </c>
      <c r="C18" s="15" t="n">
        <v>0.0137</v>
      </c>
      <c r="D18" s="15" t="n">
        <v>0.0225</v>
      </c>
      <c r="E18" s="21" t="n">
        <v>0.183</v>
      </c>
    </row>
    <row r="19">
      <c r="A19" s="10" t="n">
        <v>2022</v>
      </c>
      <c r="B19" s="15" t="n">
        <v>0.031</v>
      </c>
      <c r="C19" s="15" t="n">
        <v>0.0133</v>
      </c>
      <c r="D19" s="15" t="n">
        <v>0.0498</v>
      </c>
      <c r="E19" s="21" t="n">
        <v>0.094</v>
      </c>
    </row>
    <row r="20">
      <c r="A20" s="10" t="n">
        <v>2023</v>
      </c>
      <c r="B20" s="15" t="n">
        <v>0.032</v>
      </c>
      <c r="C20" s="15" t="n">
        <v>0.0165</v>
      </c>
      <c r="D20" s="15" t="n">
        <v>0.0455</v>
      </c>
      <c r="E20" s="21" t="n">
        <v>0.217</v>
      </c>
    </row>
    <row r="21">
      <c r="A21" s="10" t="n">
        <v>2024</v>
      </c>
      <c r="B21" s="15" t="n">
        <v>0.03</v>
      </c>
      <c r="C21" s="15" t="n">
        <v>0.02</v>
      </c>
      <c r="D21" s="15" t="n">
        <v>0.044</v>
      </c>
      <c r="E21" s="21" t="n">
        <v>0.08699999999999999</v>
      </c>
    </row>
    <row r="22">
      <c r="A22" s="10" t="n">
        <v>2025</v>
      </c>
      <c r="B22" s="15" t="n">
        <v>0.029</v>
      </c>
      <c r="C22" s="15" t="n">
        <v>0.023</v>
      </c>
      <c r="D22" s="15" t="n">
        <v>0.0402</v>
      </c>
      <c r="E22" s="21" t="n">
        <v>0.211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2026-10-07T16:07:40Z</dcterms:created>
  <dcterms:modified xsi:type="dcterms:W3CDTF">2026-10-07T16:07:40Z</dcterms:modified>
</cp:coreProperties>
</file>